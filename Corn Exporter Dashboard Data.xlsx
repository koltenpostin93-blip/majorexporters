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psicom.sharepoint.com/sites/jsacore/Shared Documents/Research Analyst/Dashboards/"/>
    </mc:Choice>
  </mc:AlternateContent>
  <xr:revisionPtr revIDLastSave="8" documentId="8_{A7E760E1-8B0A-4518-BC31-E1FE9BCA3BE6}" xr6:coauthVersionLast="47" xr6:coauthVersionMax="47" xr10:uidLastSave="{33B238C8-D2C4-43FC-A80A-0F0C267E6B53}"/>
  <bookViews>
    <workbookView xWindow="14303" yWindow="-98" windowWidth="24195" windowHeight="14476" xr2:uid="{2A8B819C-35FF-45E7-A267-117D499C3FAA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8" i="1" l="1"/>
  <c r="H138" i="1"/>
  <c r="I137" i="1"/>
  <c r="H137" i="1"/>
  <c r="I136" i="1"/>
  <c r="H136" i="1"/>
  <c r="I135" i="1"/>
  <c r="H135" i="1"/>
  <c r="I134" i="1"/>
  <c r="H134" i="1"/>
  <c r="I133" i="1"/>
  <c r="H133" i="1"/>
  <c r="I132" i="1"/>
  <c r="H132" i="1"/>
  <c r="I131" i="1"/>
  <c r="H131" i="1"/>
  <c r="I130" i="1"/>
  <c r="H130" i="1"/>
  <c r="I129" i="1"/>
  <c r="H129" i="1"/>
  <c r="I128" i="1"/>
  <c r="H128" i="1"/>
  <c r="I127" i="1"/>
  <c r="H127" i="1"/>
  <c r="I126" i="1"/>
  <c r="H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<sst xmlns="http://schemas.openxmlformats.org/spreadsheetml/2006/main" count="293" uniqueCount="33">
  <si>
    <t>Market Year</t>
  </si>
  <si>
    <t>Date</t>
  </si>
  <si>
    <t>Month</t>
  </si>
  <si>
    <t>US</t>
  </si>
  <si>
    <t>Brazil</t>
  </si>
  <si>
    <t>Argentina</t>
  </si>
  <si>
    <t>Ukraine</t>
  </si>
  <si>
    <t>Total Non US</t>
  </si>
  <si>
    <t>Major Expoter</t>
  </si>
  <si>
    <t>2014/15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</si>
  <si>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</si>
  <si>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</si>
  <si>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</si>
  <si>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</si>
  <si>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</si>
  <si>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</si>
  <si>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</si>
  <si>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</si>
  <si>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</si>
  <si>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</si>
  <si>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</si>
  <si>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</si>
  <si>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2015/16</t>
  </si>
  <si>
    <t>2016/17</t>
  </si>
  <si>
    <t>2017/18</t>
  </si>
  <si>
    <t>2018/19</t>
  </si>
  <si>
    <t>2019/20</t>
  </si>
  <si>
    <t>2020/21</t>
  </si>
  <si>
    <t>2021/22</t>
  </si>
  <si>
    <t>2022/23</t>
  </si>
  <si>
    <t>2023/24</t>
  </si>
  <si>
    <t>2024/25</t>
  </si>
  <si>
    <t>2025/26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</si>
</sst>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2"/>
      <color theme="1"/>
      <name val="Calibri"/>
      <family val="2"/>
    </font>
    <font>
      <b/>
      <sz val="16"/>
      <color rgb="FF404040"/>
      <name val="Calibri"/>
      <family val="2"/>
    </font>
    <font>
      <b/>
      <sz val="14"/>
      <color rgb="FF404040"/>
      <name val="Calibri"/>
      <family val="2"/>
    </font>
    <font>
      <sz val="12"/>
      <color rgb="FF40404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7F7F7F"/>
      </left>
      <right/>
      <top/>
      <bottom style="thin">
        <color rgb="FF7F7F7F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3" borderId="1" applyNumberFormat="0" applyAlignment="0" applyProtection="0"/>
  </cellStyleXfs>
  <cellXfs count="30">
    <xf numFmtId="0" fontId="0" fillId="0" borderId="0" xfId="0"/>
    <xf numFmtId="0" fontId="0" fillId="0" borderId="2" xfId="0" applyBorder="1" applyAlignment="1">
      <alignment horizontal="center"/>
    </xf>
    <xf numFmtId="0" fontId="4" fillId="0" borderId="2" xfId="0" applyFont="1" applyBorder="1" applyAlignment="1">
      <alignment horizontal="right"/>
    </xf>
    <xf numFmtId="3" fontId="5" fillId="0" borderId="2" xfId="0" applyNumberFormat="1" applyFont="1" applyBorder="1" applyAlignment="1">
      <alignment horizontal="center" vertical="top" wrapText="1"/>
    </xf>
    <xf numFmtId="3" fontId="6" fillId="0" borderId="2" xfId="0" applyNumberFormat="1" applyFont="1" applyBorder="1" applyAlignment="1">
      <alignment horizontal="center" vertical="top" wrapText="1"/>
    </xf>
    <xf numFmtId="3" fontId="5" fillId="0" borderId="3" xfId="0" applyNumberFormat="1" applyFont="1" applyBorder="1" applyAlignment="1">
      <alignment horizontal="center" vertical="top" wrapText="1"/>
    </xf>
    <xf numFmtId="17" fontId="4" fillId="0" borderId="2" xfId="0" applyNumberFormat="1" applyFont="1" applyBorder="1" applyAlignment="1">
      <alignment horizontal="right"/>
    </xf>
    <xf numFmtId="3" fontId="0" fillId="0" borderId="2" xfId="0" applyNumberFormat="1" applyBorder="1"/>
    <xf numFmtId="3" fontId="7" fillId="0" borderId="2" xfId="0" applyNumberFormat="1" applyFont="1" applyBorder="1" applyAlignment="1">
      <alignment horizontal="right" vertical="top" wrapText="1"/>
    </xf>
    <xf numFmtId="164" fontId="0" fillId="0" borderId="2" xfId="1" applyNumberFormat="1" applyFont="1" applyBorder="1"/>
    <xf numFmtId="164" fontId="7" fillId="0" borderId="2" xfId="1" applyNumberFormat="1" applyFont="1" applyBorder="1" applyAlignment="1">
      <alignment horizontal="right" vertical="top" wrapText="1"/>
    </xf>
    <xf numFmtId="164" fontId="4" fillId="0" borderId="4" xfId="1" applyNumberFormat="1" applyFont="1" applyBorder="1" applyAlignment="1">
      <alignment horizontal="right" wrapText="1"/>
    </xf>
    <xf numFmtId="164" fontId="4" fillId="0" borderId="4" xfId="1" applyNumberFormat="1" applyFont="1" applyBorder="1" applyAlignment="1">
      <alignment horizontal="right"/>
    </xf>
    <xf numFmtId="164" fontId="4" fillId="0" borderId="2" xfId="1" applyNumberFormat="1" applyFont="1" applyBorder="1" applyAlignment="1">
      <alignment horizontal="right" wrapText="1"/>
    </xf>
    <xf numFmtId="164" fontId="4" fillId="0" borderId="2" xfId="1" applyNumberFormat="1" applyFont="1" applyBorder="1" applyAlignment="1">
      <alignment horizontal="right"/>
    </xf>
    <xf numFmtId="0" fontId="4" fillId="0" borderId="2" xfId="0" applyFont="1" applyBorder="1" applyAlignment="1">
      <alignment horizontal="center"/>
    </xf>
    <xf numFmtId="17" fontId="4" fillId="0" borderId="5" xfId="0" applyNumberFormat="1" applyFont="1" applyBorder="1" applyAlignment="1">
      <alignment horizontal="right"/>
    </xf>
    <xf numFmtId="164" fontId="4" fillId="0" borderId="6" xfId="1" applyNumberFormat="1" applyFont="1" applyBorder="1" applyAlignment="1">
      <alignment horizontal="right"/>
    </xf>
    <xf numFmtId="164" fontId="0" fillId="0" borderId="0" xfId="1" applyNumberFormat="1" applyFont="1"/>
    <xf numFmtId="164" fontId="0" fillId="0" borderId="2" xfId="1" applyNumberFormat="1" applyFont="1" applyBorder="1" applyAlignment="1">
      <alignment horizontal="right"/>
    </xf>
    <xf numFmtId="164" fontId="3" fillId="3" borderId="7" xfId="3" applyNumberFormat="1" applyBorder="1"/>
    <xf numFmtId="3" fontId="3" fillId="3" borderId="8" xfId="3" applyNumberFormat="1" applyBorder="1"/>
    <xf numFmtId="164" fontId="3" fillId="3" borderId="1" xfId="3" applyNumberFormat="1"/>
    <xf numFmtId="164" fontId="3" fillId="3" borderId="9" xfId="3" applyNumberFormat="1" applyBorder="1" applyAlignment="1">
      <alignment horizontal="right"/>
    </xf>
    <xf numFmtId="3" fontId="3" fillId="3" borderId="1" xfId="3" applyNumberFormat="1"/>
    <xf numFmtId="164" fontId="2" fillId="2" borderId="2" xfId="2" applyNumberFormat="1" applyBorder="1"/>
    <xf numFmtId="164" fontId="3" fillId="3" borderId="10" xfId="3" applyNumberFormat="1" applyBorder="1"/>
    <xf numFmtId="164" fontId="3" fillId="3" borderId="9" xfId="3" applyNumberFormat="1" applyBorder="1"/>
    <xf numFmtId="164" fontId="3" fillId="3" borderId="1" xfId="3" applyNumberFormat="1" applyAlignment="1">
      <alignment horizontal="right"/>
    </xf>
    <xf numFmtId="0" fontId="0" fillId="0" borderId="2" xfId="0" applyBorder="1"/>
  </cellXfs>
  <cellStyles count="4">
    <cellStyle name="Calculation" xfId="3" builtinId="22"/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36E87-5AA1-4EB6-B35E-F89BE8CD2C2E}">
  <dimension ref="A1:I143"/>
  <sheetViews>
    <sheetView tabSelected="1" topLeftCell="A122" workbookViewId="0">
      <selection activeCell="D138" sqref="D138"/>
    </sheetView>
  </sheetViews>
  <sheetFormatPr defaultRowHeight="14.25" x14ac:dyDescent="0.45"/>
  <cols>
    <col min="7" max="7" width="13.3984375" customWidth="1"/>
  </cols>
  <sheetData>
    <row r="1" spans="1:9" ht="63" x14ac:dyDescent="0.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</row>
    <row r="2" spans="1:9" ht="15.75" x14ac:dyDescent="0.5">
      <c r="A2" s="1" t="s">
        <v>9</v>
      </c>
      <c r="B2" s="6">
        <v>41913</v>
      </c>
      <c r="C2" s="6" t="s">
        <v>10</v>
      </c>
      <c r="D2" s="7">
        <v>3807.1460000000002</v>
      </c>
      <c r="E2" s="8">
        <v>3178</v>
      </c>
      <c r="F2" s="8">
        <v>1818</v>
      </c>
      <c r="G2" s="8">
        <v>1275</v>
      </c>
      <c r="H2" s="8">
        <v>6271</v>
      </c>
      <c r="I2" s="7">
        <f>D2+E2+F2+G2</f>
        <v>10078.146000000001</v>
      </c>
    </row>
    <row r="3" spans="1:9" ht="15.75" x14ac:dyDescent="0.5">
      <c r="A3" s="1" t="s">
        <v>9</v>
      </c>
      <c r="B3" s="6">
        <v>41944</v>
      </c>
      <c r="C3" s="6" t="s">
        <v>11</v>
      </c>
      <c r="D3" s="7">
        <v>2413.3690000000001</v>
      </c>
      <c r="E3" s="8">
        <v>2979</v>
      </c>
      <c r="F3" s="8">
        <v>1050</v>
      </c>
      <c r="G3" s="8">
        <v>2223</v>
      </c>
      <c r="H3" s="8">
        <v>6252</v>
      </c>
      <c r="I3" s="7">
        <f t="shared" ref="I3:I66" si="0">D3+E3+F3+G3</f>
        <v>8665.3690000000006</v>
      </c>
    </row>
    <row r="4" spans="1:9" ht="15.75" x14ac:dyDescent="0.5">
      <c r="A4" s="1" t="s">
        <v>9</v>
      </c>
      <c r="B4" s="6">
        <v>41974</v>
      </c>
      <c r="C4" s="6" t="s">
        <v>12</v>
      </c>
      <c r="D4" s="7">
        <v>2990.2109999999998</v>
      </c>
      <c r="E4" s="8">
        <v>3405</v>
      </c>
      <c r="F4" s="8">
        <v>853</v>
      </c>
      <c r="G4" s="8">
        <v>2684</v>
      </c>
      <c r="H4" s="8">
        <v>6942</v>
      </c>
      <c r="I4" s="7">
        <f t="shared" si="0"/>
        <v>9932.2109999999993</v>
      </c>
    </row>
    <row r="5" spans="1:9" ht="15.75" x14ac:dyDescent="0.5">
      <c r="A5" s="1" t="s">
        <v>9</v>
      </c>
      <c r="B5" s="6">
        <v>42005</v>
      </c>
      <c r="C5" s="6" t="s">
        <v>13</v>
      </c>
      <c r="D5" s="7">
        <v>3221.6619999999998</v>
      </c>
      <c r="E5" s="8">
        <v>3195</v>
      </c>
      <c r="F5" s="8">
        <v>866</v>
      </c>
      <c r="G5" s="8">
        <v>1895</v>
      </c>
      <c r="H5" s="8">
        <v>5956</v>
      </c>
      <c r="I5" s="7">
        <f t="shared" si="0"/>
        <v>9177.6620000000003</v>
      </c>
    </row>
    <row r="6" spans="1:9" ht="15.75" x14ac:dyDescent="0.5">
      <c r="A6" s="1" t="s">
        <v>9</v>
      </c>
      <c r="B6" s="6">
        <v>42036</v>
      </c>
      <c r="C6" s="6" t="s">
        <v>14</v>
      </c>
      <c r="D6" s="7">
        <v>3914.5129999999999</v>
      </c>
      <c r="E6" s="8">
        <v>1105</v>
      </c>
      <c r="F6" s="8">
        <v>706</v>
      </c>
      <c r="G6" s="8">
        <v>2215</v>
      </c>
      <c r="H6" s="8">
        <v>4026</v>
      </c>
      <c r="I6" s="7">
        <f t="shared" si="0"/>
        <v>7940.5129999999999</v>
      </c>
    </row>
    <row r="7" spans="1:9" ht="15.75" x14ac:dyDescent="0.5">
      <c r="A7" s="1" t="s">
        <v>9</v>
      </c>
      <c r="B7" s="6">
        <v>42064</v>
      </c>
      <c r="C7" s="6" t="s">
        <v>15</v>
      </c>
      <c r="D7" s="7">
        <v>3981.8139999999999</v>
      </c>
      <c r="E7" s="8">
        <v>675</v>
      </c>
      <c r="F7" s="8">
        <v>1879</v>
      </c>
      <c r="G7" s="8">
        <v>1834</v>
      </c>
      <c r="H7" s="8">
        <v>4388</v>
      </c>
      <c r="I7" s="7">
        <f t="shared" si="0"/>
        <v>8369.8140000000003</v>
      </c>
    </row>
    <row r="8" spans="1:9" ht="15.75" x14ac:dyDescent="0.5">
      <c r="A8" s="1" t="s">
        <v>9</v>
      </c>
      <c r="B8" s="6">
        <v>42095</v>
      </c>
      <c r="C8" s="6" t="s">
        <v>16</v>
      </c>
      <c r="D8" s="7">
        <v>4870.8069999999998</v>
      </c>
      <c r="E8" s="8">
        <v>159</v>
      </c>
      <c r="F8" s="8">
        <v>2430</v>
      </c>
      <c r="G8" s="8">
        <v>2018</v>
      </c>
      <c r="H8" s="8">
        <v>4607</v>
      </c>
      <c r="I8" s="7">
        <f t="shared" si="0"/>
        <v>9477.8070000000007</v>
      </c>
    </row>
    <row r="9" spans="1:9" ht="15.75" x14ac:dyDescent="0.5">
      <c r="A9" s="1" t="s">
        <v>9</v>
      </c>
      <c r="B9" s="6">
        <v>42125</v>
      </c>
      <c r="C9" s="6" t="s">
        <v>17</v>
      </c>
      <c r="D9" s="7">
        <v>4843.3119999999999</v>
      </c>
      <c r="E9" s="8">
        <v>39</v>
      </c>
      <c r="F9" s="8">
        <v>1689</v>
      </c>
      <c r="G9" s="8">
        <v>2077</v>
      </c>
      <c r="H9" s="8">
        <v>3805</v>
      </c>
      <c r="I9" s="7">
        <f t="shared" si="0"/>
        <v>8648.3119999999999</v>
      </c>
    </row>
    <row r="10" spans="1:9" ht="15.75" x14ac:dyDescent="0.5">
      <c r="A10" s="1" t="s">
        <v>9</v>
      </c>
      <c r="B10" s="6">
        <v>42156</v>
      </c>
      <c r="C10" s="6" t="s">
        <v>18</v>
      </c>
      <c r="D10" s="7">
        <v>4244.8209999999999</v>
      </c>
      <c r="E10" s="8">
        <v>137</v>
      </c>
      <c r="F10" s="8">
        <v>2252</v>
      </c>
      <c r="G10" s="8">
        <v>1977</v>
      </c>
      <c r="H10" s="8">
        <v>4366</v>
      </c>
      <c r="I10" s="7">
        <f t="shared" si="0"/>
        <v>8610.8209999999999</v>
      </c>
    </row>
    <row r="11" spans="1:9" ht="15.75" x14ac:dyDescent="0.5">
      <c r="A11" s="1" t="s">
        <v>9</v>
      </c>
      <c r="B11" s="6">
        <v>42186</v>
      </c>
      <c r="C11" s="6" t="s">
        <v>19</v>
      </c>
      <c r="D11" s="7">
        <v>5082.9369999999999</v>
      </c>
      <c r="E11" s="8">
        <v>1280</v>
      </c>
      <c r="F11" s="8">
        <v>1972</v>
      </c>
      <c r="G11" s="8">
        <v>999</v>
      </c>
      <c r="H11" s="8">
        <v>4251</v>
      </c>
      <c r="I11" s="7">
        <f t="shared" si="0"/>
        <v>9333.9369999999999</v>
      </c>
    </row>
    <row r="12" spans="1:9" ht="15.75" x14ac:dyDescent="0.5">
      <c r="A12" s="1" t="s">
        <v>9</v>
      </c>
      <c r="B12" s="6">
        <v>42217</v>
      </c>
      <c r="C12" s="6" t="s">
        <v>20</v>
      </c>
      <c r="D12" s="7">
        <v>4022.37</v>
      </c>
      <c r="E12" s="8">
        <v>2284</v>
      </c>
      <c r="F12" s="8">
        <v>1511</v>
      </c>
      <c r="G12" s="8">
        <v>309</v>
      </c>
      <c r="H12" s="8">
        <v>4104</v>
      </c>
      <c r="I12" s="7">
        <f t="shared" si="0"/>
        <v>8126.37</v>
      </c>
    </row>
    <row r="13" spans="1:9" ht="15.75" x14ac:dyDescent="0.5">
      <c r="A13" s="1" t="s">
        <v>9</v>
      </c>
      <c r="B13" s="6">
        <v>42248</v>
      </c>
      <c r="C13" s="6" t="s">
        <v>21</v>
      </c>
      <c r="D13" s="7">
        <v>3364.91</v>
      </c>
      <c r="E13" s="8">
        <v>3455</v>
      </c>
      <c r="F13" s="8">
        <v>1407</v>
      </c>
      <c r="G13" s="8">
        <v>150</v>
      </c>
      <c r="H13" s="8">
        <v>5012</v>
      </c>
      <c r="I13" s="7">
        <f t="shared" si="0"/>
        <v>8376.91</v>
      </c>
    </row>
    <row r="14" spans="1:9" ht="15.75" x14ac:dyDescent="0.5">
      <c r="A14" s="1" t="s">
        <v>22</v>
      </c>
      <c r="B14" s="6">
        <v>42278</v>
      </c>
      <c r="C14" s="6" t="s">
        <v>10</v>
      </c>
      <c r="D14" s="7">
        <v>2365.5479999999998</v>
      </c>
      <c r="E14" s="8">
        <v>5548</v>
      </c>
      <c r="F14" s="8">
        <v>1090</v>
      </c>
      <c r="G14" s="8">
        <v>1317</v>
      </c>
      <c r="H14" s="8">
        <v>7955</v>
      </c>
      <c r="I14" s="7">
        <f t="shared" si="0"/>
        <v>10320.547999999999</v>
      </c>
    </row>
    <row r="15" spans="1:9" ht="15.75" x14ac:dyDescent="0.5">
      <c r="A15" s="1" t="s">
        <v>22</v>
      </c>
      <c r="B15" s="6">
        <v>42309</v>
      </c>
      <c r="C15" s="6" t="s">
        <v>11</v>
      </c>
      <c r="D15" s="7">
        <v>1906.383</v>
      </c>
      <c r="E15" s="8">
        <v>4757</v>
      </c>
      <c r="F15" s="8">
        <v>503</v>
      </c>
      <c r="G15" s="8">
        <v>1878</v>
      </c>
      <c r="H15" s="8">
        <v>7138</v>
      </c>
      <c r="I15" s="7">
        <f t="shared" si="0"/>
        <v>9044.3829999999998</v>
      </c>
    </row>
    <row r="16" spans="1:9" ht="15.75" x14ac:dyDescent="0.5">
      <c r="A16" s="1" t="s">
        <v>22</v>
      </c>
      <c r="B16" s="6">
        <v>42339</v>
      </c>
      <c r="C16" s="6" t="s">
        <v>12</v>
      </c>
      <c r="D16" s="7">
        <v>2667.6370000000002</v>
      </c>
      <c r="E16" s="8">
        <v>6268</v>
      </c>
      <c r="F16" s="8">
        <v>417</v>
      </c>
      <c r="G16" s="8">
        <v>2375</v>
      </c>
      <c r="H16" s="8">
        <v>9060</v>
      </c>
      <c r="I16" s="7">
        <f t="shared" si="0"/>
        <v>11727.637000000001</v>
      </c>
    </row>
    <row r="17" spans="1:9" ht="15.75" x14ac:dyDescent="0.5">
      <c r="A17" s="1" t="s">
        <v>22</v>
      </c>
      <c r="B17" s="6">
        <v>42370</v>
      </c>
      <c r="C17" s="6" t="s">
        <v>13</v>
      </c>
      <c r="D17" s="7">
        <v>2659.8809999999999</v>
      </c>
      <c r="E17" s="8">
        <v>4437</v>
      </c>
      <c r="F17" s="8">
        <v>1194</v>
      </c>
      <c r="G17" s="8">
        <v>1675</v>
      </c>
      <c r="H17" s="8">
        <v>7306</v>
      </c>
      <c r="I17" s="7">
        <f t="shared" si="0"/>
        <v>9965.8809999999994</v>
      </c>
    </row>
    <row r="18" spans="1:9" ht="15.75" x14ac:dyDescent="0.5">
      <c r="A18" s="1" t="s">
        <v>22</v>
      </c>
      <c r="B18" s="6">
        <v>42401</v>
      </c>
      <c r="C18" s="6" t="s">
        <v>14</v>
      </c>
      <c r="D18" s="7">
        <v>3316.8910000000001</v>
      </c>
      <c r="E18" s="8">
        <v>5374</v>
      </c>
      <c r="F18" s="8">
        <v>2605</v>
      </c>
      <c r="G18" s="8">
        <v>2370</v>
      </c>
      <c r="H18" s="8">
        <v>10349</v>
      </c>
      <c r="I18" s="7">
        <f t="shared" si="0"/>
        <v>13665.891</v>
      </c>
    </row>
    <row r="19" spans="1:9" ht="15.75" x14ac:dyDescent="0.5">
      <c r="A19" s="1" t="s">
        <v>22</v>
      </c>
      <c r="B19" s="6">
        <v>42430</v>
      </c>
      <c r="C19" s="6" t="s">
        <v>15</v>
      </c>
      <c r="D19" s="7">
        <v>4454.9399999999996</v>
      </c>
      <c r="E19" s="8">
        <v>2024</v>
      </c>
      <c r="F19" s="8">
        <v>2789</v>
      </c>
      <c r="G19" s="8">
        <v>2366</v>
      </c>
      <c r="H19" s="8">
        <v>7179</v>
      </c>
      <c r="I19" s="7">
        <f t="shared" si="0"/>
        <v>11633.939999999999</v>
      </c>
    </row>
    <row r="20" spans="1:9" ht="15.75" x14ac:dyDescent="0.5">
      <c r="A20" s="1" t="s">
        <v>22</v>
      </c>
      <c r="B20" s="6">
        <v>42461</v>
      </c>
      <c r="C20" s="6" t="s">
        <v>16</v>
      </c>
      <c r="D20" s="7">
        <v>5010.366</v>
      </c>
      <c r="E20" s="8">
        <v>368</v>
      </c>
      <c r="F20" s="8">
        <v>1972</v>
      </c>
      <c r="G20" s="8">
        <v>2041</v>
      </c>
      <c r="H20" s="8">
        <v>4381</v>
      </c>
      <c r="I20" s="7">
        <f t="shared" si="0"/>
        <v>9391.366</v>
      </c>
    </row>
    <row r="21" spans="1:9" ht="15.75" x14ac:dyDescent="0.5">
      <c r="A21" s="1" t="s">
        <v>22</v>
      </c>
      <c r="B21" s="6">
        <v>42491</v>
      </c>
      <c r="C21" s="6" t="s">
        <v>17</v>
      </c>
      <c r="D21" s="7">
        <v>4804.6180000000004</v>
      </c>
      <c r="E21" s="8">
        <v>27</v>
      </c>
      <c r="F21" s="8">
        <v>1601</v>
      </c>
      <c r="G21" s="8">
        <v>1002</v>
      </c>
      <c r="H21" s="8">
        <v>2630</v>
      </c>
      <c r="I21" s="7">
        <f t="shared" si="0"/>
        <v>7434.6180000000004</v>
      </c>
    </row>
    <row r="22" spans="1:9" ht="15.75" x14ac:dyDescent="0.5">
      <c r="A22" s="1" t="s">
        <v>22</v>
      </c>
      <c r="B22" s="6">
        <v>42522</v>
      </c>
      <c r="C22" s="6" t="s">
        <v>18</v>
      </c>
      <c r="D22" s="7">
        <v>6075.915</v>
      </c>
      <c r="E22" s="8">
        <v>19</v>
      </c>
      <c r="F22" s="8">
        <v>1514</v>
      </c>
      <c r="G22" s="8">
        <v>920</v>
      </c>
      <c r="H22" s="8">
        <v>2453</v>
      </c>
      <c r="I22" s="7">
        <f t="shared" si="0"/>
        <v>8528.9150000000009</v>
      </c>
    </row>
    <row r="23" spans="1:9" ht="15.75" x14ac:dyDescent="0.5">
      <c r="A23" s="1" t="s">
        <v>22</v>
      </c>
      <c r="B23" s="6">
        <v>42552</v>
      </c>
      <c r="C23" s="6" t="s">
        <v>19</v>
      </c>
      <c r="D23" s="7">
        <v>5759.3519999999999</v>
      </c>
      <c r="E23" s="8">
        <v>1046</v>
      </c>
      <c r="F23" s="8">
        <v>2052</v>
      </c>
      <c r="G23" s="8">
        <v>439</v>
      </c>
      <c r="H23" s="8">
        <v>3537</v>
      </c>
      <c r="I23" s="7">
        <f t="shared" si="0"/>
        <v>9296.351999999999</v>
      </c>
    </row>
    <row r="24" spans="1:9" ht="15.75" x14ac:dyDescent="0.5">
      <c r="A24" s="1" t="s">
        <v>22</v>
      </c>
      <c r="B24" s="6">
        <v>42583</v>
      </c>
      <c r="C24" s="6" t="s">
        <v>20</v>
      </c>
      <c r="D24" s="7">
        <v>5776.1390000000001</v>
      </c>
      <c r="E24" s="8">
        <v>2565</v>
      </c>
      <c r="F24" s="8">
        <v>4105</v>
      </c>
      <c r="G24" s="8">
        <v>136</v>
      </c>
      <c r="H24" s="8">
        <v>6806</v>
      </c>
      <c r="I24" s="7">
        <f t="shared" si="0"/>
        <v>12582.138999999999</v>
      </c>
    </row>
    <row r="25" spans="1:9" ht="15.75" x14ac:dyDescent="0.5">
      <c r="A25" s="1" t="s">
        <v>22</v>
      </c>
      <c r="B25" s="6">
        <v>42614</v>
      </c>
      <c r="C25" s="6" t="s">
        <v>21</v>
      </c>
      <c r="D25" s="7">
        <v>6191.7749999999996</v>
      </c>
      <c r="E25" s="8">
        <v>2913</v>
      </c>
      <c r="F25" s="8">
        <v>1823</v>
      </c>
      <c r="G25" s="8">
        <v>68</v>
      </c>
      <c r="H25" s="8">
        <v>4804</v>
      </c>
      <c r="I25" s="7">
        <f t="shared" si="0"/>
        <v>10995.775</v>
      </c>
    </row>
    <row r="26" spans="1:9" ht="15.75" x14ac:dyDescent="0.5">
      <c r="A26" s="1" t="s">
        <v>23</v>
      </c>
      <c r="B26" s="6">
        <v>42644</v>
      </c>
      <c r="C26" s="6" t="s">
        <v>10</v>
      </c>
      <c r="D26" s="7">
        <v>3659.66</v>
      </c>
      <c r="E26" s="8">
        <v>1102</v>
      </c>
      <c r="F26" s="8">
        <v>2040</v>
      </c>
      <c r="G26" s="8">
        <v>1355</v>
      </c>
      <c r="H26" s="8">
        <v>4497</v>
      </c>
      <c r="I26" s="7">
        <f t="shared" si="0"/>
        <v>8156.66</v>
      </c>
    </row>
    <row r="27" spans="1:9" ht="15.75" x14ac:dyDescent="0.5">
      <c r="A27" s="1" t="s">
        <v>23</v>
      </c>
      <c r="B27" s="6">
        <v>42675</v>
      </c>
      <c r="C27" s="6" t="s">
        <v>11</v>
      </c>
      <c r="D27" s="7">
        <v>4049.3130000000001</v>
      </c>
      <c r="E27" s="8">
        <v>961</v>
      </c>
      <c r="F27" s="8">
        <v>1772</v>
      </c>
      <c r="G27" s="8">
        <v>2264</v>
      </c>
      <c r="H27" s="8">
        <v>4997</v>
      </c>
      <c r="I27" s="7">
        <f t="shared" si="0"/>
        <v>9046.3130000000001</v>
      </c>
    </row>
    <row r="28" spans="1:9" ht="15.75" x14ac:dyDescent="0.5">
      <c r="A28" s="1" t="s">
        <v>23</v>
      </c>
      <c r="B28" s="6">
        <v>42705</v>
      </c>
      <c r="C28" s="6" t="s">
        <v>12</v>
      </c>
      <c r="D28" s="7">
        <v>3906.5340000000001</v>
      </c>
      <c r="E28" s="8">
        <v>1006</v>
      </c>
      <c r="F28" s="8">
        <v>1017</v>
      </c>
      <c r="G28" s="8">
        <v>2647</v>
      </c>
      <c r="H28" s="8">
        <v>4670</v>
      </c>
      <c r="I28" s="7">
        <f t="shared" si="0"/>
        <v>8576.5339999999997</v>
      </c>
    </row>
    <row r="29" spans="1:9" ht="15.75" x14ac:dyDescent="0.5">
      <c r="A29" s="1" t="s">
        <v>23</v>
      </c>
      <c r="B29" s="6">
        <v>42736</v>
      </c>
      <c r="C29" s="6" t="s">
        <v>13</v>
      </c>
      <c r="D29" s="7">
        <v>4630.0519999999997</v>
      </c>
      <c r="E29" s="8">
        <v>1451</v>
      </c>
      <c r="F29" s="8">
        <v>701</v>
      </c>
      <c r="G29" s="8">
        <v>2312</v>
      </c>
      <c r="H29" s="8">
        <v>4464</v>
      </c>
      <c r="I29" s="7">
        <f t="shared" si="0"/>
        <v>9094.0519999999997</v>
      </c>
    </row>
    <row r="30" spans="1:9" ht="15.75" x14ac:dyDescent="0.5">
      <c r="A30" s="1" t="s">
        <v>23</v>
      </c>
      <c r="B30" s="6">
        <v>42767</v>
      </c>
      <c r="C30" s="6" t="s">
        <v>14</v>
      </c>
      <c r="D30" s="7">
        <v>5107.6729999999998</v>
      </c>
      <c r="E30" s="8">
        <v>487</v>
      </c>
      <c r="F30" s="8">
        <v>244</v>
      </c>
      <c r="G30" s="8">
        <v>1812</v>
      </c>
      <c r="H30" s="8">
        <v>2543</v>
      </c>
      <c r="I30" s="7">
        <f t="shared" si="0"/>
        <v>7650.6729999999998</v>
      </c>
    </row>
    <row r="31" spans="1:9" ht="15.75" x14ac:dyDescent="0.5">
      <c r="A31" s="1" t="s">
        <v>23</v>
      </c>
      <c r="B31" s="6">
        <v>42795</v>
      </c>
      <c r="C31" s="6" t="s">
        <v>15</v>
      </c>
      <c r="D31" s="7">
        <v>6662.9989999999998</v>
      </c>
      <c r="E31" s="8">
        <v>243</v>
      </c>
      <c r="F31" s="8">
        <v>1896</v>
      </c>
      <c r="G31" s="8">
        <v>3125</v>
      </c>
      <c r="H31" s="8">
        <v>5264</v>
      </c>
      <c r="I31" s="7">
        <f t="shared" si="0"/>
        <v>11926.999</v>
      </c>
    </row>
    <row r="32" spans="1:9" ht="15.75" x14ac:dyDescent="0.5">
      <c r="A32" s="1" t="s">
        <v>23</v>
      </c>
      <c r="B32" s="6">
        <v>42826</v>
      </c>
      <c r="C32" s="6" t="s">
        <v>16</v>
      </c>
      <c r="D32" s="7">
        <v>5509.6639999999998</v>
      </c>
      <c r="E32" s="8">
        <v>155</v>
      </c>
      <c r="F32" s="8">
        <v>2819</v>
      </c>
      <c r="G32" s="8">
        <v>1946</v>
      </c>
      <c r="H32" s="8">
        <v>4920</v>
      </c>
      <c r="I32" s="7">
        <f t="shared" si="0"/>
        <v>10429.664000000001</v>
      </c>
    </row>
    <row r="33" spans="1:9" ht="15.75" x14ac:dyDescent="0.5">
      <c r="A33" s="1" t="s">
        <v>23</v>
      </c>
      <c r="B33" s="6">
        <v>42856</v>
      </c>
      <c r="C33" s="6" t="s">
        <v>17</v>
      </c>
      <c r="D33" s="7">
        <v>5267.29</v>
      </c>
      <c r="E33" s="8">
        <v>310</v>
      </c>
      <c r="F33" s="8">
        <v>2223</v>
      </c>
      <c r="G33" s="8">
        <v>2654</v>
      </c>
      <c r="H33" s="8">
        <v>5187</v>
      </c>
      <c r="I33" s="7">
        <f t="shared" si="0"/>
        <v>10454.290000000001</v>
      </c>
    </row>
    <row r="34" spans="1:9" ht="15.75" x14ac:dyDescent="0.5">
      <c r="A34" s="1" t="s">
        <v>23</v>
      </c>
      <c r="B34" s="6">
        <v>42887</v>
      </c>
      <c r="C34" s="6" t="s">
        <v>18</v>
      </c>
      <c r="D34" s="7">
        <v>4925.8320000000003</v>
      </c>
      <c r="E34" s="8">
        <v>563</v>
      </c>
      <c r="F34" s="8">
        <v>2117</v>
      </c>
      <c r="G34" s="8">
        <v>1948</v>
      </c>
      <c r="H34" s="8">
        <v>4628</v>
      </c>
      <c r="I34" s="7">
        <f t="shared" si="0"/>
        <v>9553.8320000000003</v>
      </c>
    </row>
    <row r="35" spans="1:9" ht="15.75" x14ac:dyDescent="0.5">
      <c r="A35" s="1" t="s">
        <v>23</v>
      </c>
      <c r="B35" s="6">
        <v>42917</v>
      </c>
      <c r="C35" s="6" t="s">
        <v>19</v>
      </c>
      <c r="D35" s="7">
        <v>4758.4939999999997</v>
      </c>
      <c r="E35" s="8">
        <v>2323</v>
      </c>
      <c r="F35" s="8">
        <v>3172</v>
      </c>
      <c r="G35" s="8">
        <v>873</v>
      </c>
      <c r="H35" s="8">
        <v>6368</v>
      </c>
      <c r="I35" s="7">
        <f t="shared" si="0"/>
        <v>11126.493999999999</v>
      </c>
    </row>
    <row r="36" spans="1:9" ht="15.75" x14ac:dyDescent="0.5">
      <c r="A36" s="1" t="s">
        <v>23</v>
      </c>
      <c r="B36" s="6">
        <v>42948</v>
      </c>
      <c r="C36" s="6" t="s">
        <v>20</v>
      </c>
      <c r="D36" s="7">
        <v>3546.7759999999998</v>
      </c>
      <c r="E36" s="8">
        <v>5257</v>
      </c>
      <c r="F36" s="8">
        <v>2926</v>
      </c>
      <c r="G36" s="8">
        <v>270</v>
      </c>
      <c r="H36" s="8">
        <v>8453</v>
      </c>
      <c r="I36" s="7">
        <f t="shared" si="0"/>
        <v>11999.776</v>
      </c>
    </row>
    <row r="37" spans="1:9" ht="15.75" x14ac:dyDescent="0.5">
      <c r="A37" s="1" t="s">
        <v>23</v>
      </c>
      <c r="B37" s="6">
        <v>42979</v>
      </c>
      <c r="C37" s="6" t="s">
        <v>21</v>
      </c>
      <c r="D37" s="7">
        <v>3536.444</v>
      </c>
      <c r="E37" s="8">
        <v>5914</v>
      </c>
      <c r="F37" s="8">
        <v>1999</v>
      </c>
      <c r="G37" s="8">
        <v>119</v>
      </c>
      <c r="H37" s="8">
        <v>8032</v>
      </c>
      <c r="I37" s="7">
        <f t="shared" si="0"/>
        <v>11568.444</v>
      </c>
    </row>
    <row r="38" spans="1:9" ht="15.75" x14ac:dyDescent="0.5">
      <c r="A38" s="1" t="s">
        <v>24</v>
      </c>
      <c r="B38" s="6">
        <v>43009</v>
      </c>
      <c r="C38" s="6" t="s">
        <v>10</v>
      </c>
      <c r="D38" s="7">
        <v>2655.4169999999999</v>
      </c>
      <c r="E38" s="8">
        <v>5028</v>
      </c>
      <c r="F38" s="8">
        <v>2205</v>
      </c>
      <c r="G38" s="8">
        <v>501</v>
      </c>
      <c r="H38" s="8">
        <v>7734</v>
      </c>
      <c r="I38" s="7">
        <f t="shared" si="0"/>
        <v>10389.416999999999</v>
      </c>
    </row>
    <row r="39" spans="1:9" ht="15.75" x14ac:dyDescent="0.5">
      <c r="A39" s="1" t="s">
        <v>24</v>
      </c>
      <c r="B39" s="6">
        <v>43040</v>
      </c>
      <c r="C39" s="6" t="s">
        <v>11</v>
      </c>
      <c r="D39" s="7">
        <v>2630.34</v>
      </c>
      <c r="E39" s="8">
        <v>3520</v>
      </c>
      <c r="F39" s="8">
        <v>1957</v>
      </c>
      <c r="G39" s="8">
        <v>1582</v>
      </c>
      <c r="H39" s="8">
        <v>7059</v>
      </c>
      <c r="I39" s="7">
        <f t="shared" si="0"/>
        <v>9689.34</v>
      </c>
    </row>
    <row r="40" spans="1:9" ht="15.75" x14ac:dyDescent="0.5">
      <c r="A40" s="1" t="s">
        <v>24</v>
      </c>
      <c r="B40" s="6">
        <v>43070</v>
      </c>
      <c r="C40" s="6" t="s">
        <v>12</v>
      </c>
      <c r="D40" s="7">
        <v>3558.5909999999999</v>
      </c>
      <c r="E40" s="8">
        <v>3994</v>
      </c>
      <c r="F40" s="8">
        <v>1433</v>
      </c>
      <c r="G40" s="8">
        <v>2245</v>
      </c>
      <c r="H40" s="8">
        <v>7672</v>
      </c>
      <c r="I40" s="7">
        <f t="shared" si="0"/>
        <v>11230.591</v>
      </c>
    </row>
    <row r="41" spans="1:9" ht="15.75" x14ac:dyDescent="0.5">
      <c r="A41" s="1" t="s">
        <v>24</v>
      </c>
      <c r="B41" s="6">
        <v>43101</v>
      </c>
      <c r="C41" s="6" t="s">
        <v>13</v>
      </c>
      <c r="D41" s="7">
        <v>3852.75</v>
      </c>
      <c r="E41" s="8">
        <v>3022</v>
      </c>
      <c r="F41" s="8">
        <v>1762</v>
      </c>
      <c r="G41" s="8">
        <v>2082</v>
      </c>
      <c r="H41" s="8">
        <v>6866</v>
      </c>
      <c r="I41" s="7">
        <f t="shared" si="0"/>
        <v>10718.75</v>
      </c>
    </row>
    <row r="42" spans="1:9" ht="15.75" x14ac:dyDescent="0.5">
      <c r="A42" s="1" t="s">
        <v>24</v>
      </c>
      <c r="B42" s="6">
        <v>43132</v>
      </c>
      <c r="C42" s="6" t="s">
        <v>14</v>
      </c>
      <c r="D42" s="7">
        <v>3899.9569999999999</v>
      </c>
      <c r="E42" s="8">
        <v>1254</v>
      </c>
      <c r="F42" s="8">
        <v>1464</v>
      </c>
      <c r="G42" s="8">
        <v>2025</v>
      </c>
      <c r="H42" s="8">
        <v>4743</v>
      </c>
      <c r="I42" s="7">
        <f t="shared" si="0"/>
        <v>8642.9570000000003</v>
      </c>
    </row>
    <row r="43" spans="1:9" ht="15.75" x14ac:dyDescent="0.5">
      <c r="A43" s="1" t="s">
        <v>24</v>
      </c>
      <c r="B43" s="6">
        <v>43160</v>
      </c>
      <c r="C43" s="6" t="s">
        <v>15</v>
      </c>
      <c r="D43" s="7">
        <v>6467.5559999999996</v>
      </c>
      <c r="E43" s="8">
        <v>605</v>
      </c>
      <c r="F43" s="8">
        <v>2586</v>
      </c>
      <c r="G43" s="8">
        <v>2489</v>
      </c>
      <c r="H43" s="8">
        <v>5680</v>
      </c>
      <c r="I43" s="7">
        <f t="shared" si="0"/>
        <v>12147.556</v>
      </c>
    </row>
    <row r="44" spans="1:9" ht="15.75" x14ac:dyDescent="0.5">
      <c r="A44" s="1" t="s">
        <v>24</v>
      </c>
      <c r="B44" s="6">
        <v>43191</v>
      </c>
      <c r="C44" s="6" t="s">
        <v>16</v>
      </c>
      <c r="D44" s="7">
        <v>7649.2659999999996</v>
      </c>
      <c r="E44" s="8">
        <v>115</v>
      </c>
      <c r="F44" s="8">
        <v>2478</v>
      </c>
      <c r="G44" s="8">
        <v>2299</v>
      </c>
      <c r="H44" s="8">
        <v>4892</v>
      </c>
      <c r="I44" s="7">
        <f t="shared" si="0"/>
        <v>12541.266</v>
      </c>
    </row>
    <row r="45" spans="1:9" ht="15.75" x14ac:dyDescent="0.5">
      <c r="A45" s="1" t="s">
        <v>24</v>
      </c>
      <c r="B45" s="6">
        <v>43221</v>
      </c>
      <c r="C45" s="6" t="s">
        <v>17</v>
      </c>
      <c r="D45" s="7">
        <v>7760.8190000000004</v>
      </c>
      <c r="E45" s="8">
        <v>57</v>
      </c>
      <c r="F45" s="8">
        <v>1812</v>
      </c>
      <c r="G45" s="8">
        <v>1811</v>
      </c>
      <c r="H45" s="8">
        <v>3680</v>
      </c>
      <c r="I45" s="7">
        <f t="shared" si="0"/>
        <v>11440.819</v>
      </c>
    </row>
    <row r="46" spans="1:9" ht="15.75" x14ac:dyDescent="0.5">
      <c r="A46" s="1" t="s">
        <v>24</v>
      </c>
      <c r="B46" s="6">
        <v>43252</v>
      </c>
      <c r="C46" s="6" t="s">
        <v>18</v>
      </c>
      <c r="D46" s="7">
        <v>7187.9880000000003</v>
      </c>
      <c r="E46" s="8">
        <v>143</v>
      </c>
      <c r="F46" s="8">
        <v>1762</v>
      </c>
      <c r="G46" s="8">
        <v>1469</v>
      </c>
      <c r="H46" s="8">
        <v>3374</v>
      </c>
      <c r="I46" s="7">
        <f t="shared" si="0"/>
        <v>10561.988000000001</v>
      </c>
    </row>
    <row r="47" spans="1:9" ht="15.75" x14ac:dyDescent="0.5">
      <c r="A47" s="1" t="s">
        <v>24</v>
      </c>
      <c r="B47" s="6">
        <v>43282</v>
      </c>
      <c r="C47" s="6" t="s">
        <v>19</v>
      </c>
      <c r="D47" s="7">
        <v>6770.8320000000003</v>
      </c>
      <c r="E47" s="8">
        <v>1170</v>
      </c>
      <c r="F47" s="8">
        <v>2493</v>
      </c>
      <c r="G47" s="8">
        <v>700</v>
      </c>
      <c r="H47" s="8">
        <v>4363</v>
      </c>
      <c r="I47" s="7">
        <f t="shared" si="0"/>
        <v>11133.832</v>
      </c>
    </row>
    <row r="48" spans="1:9" ht="15.75" x14ac:dyDescent="0.5">
      <c r="A48" s="1" t="s">
        <v>24</v>
      </c>
      <c r="B48" s="6">
        <v>43313</v>
      </c>
      <c r="C48" s="6" t="s">
        <v>20</v>
      </c>
      <c r="D48" s="7">
        <v>5844.3670000000002</v>
      </c>
      <c r="E48" s="8">
        <v>2826</v>
      </c>
      <c r="F48" s="8">
        <v>2418</v>
      </c>
      <c r="G48" s="8">
        <v>542</v>
      </c>
      <c r="H48" s="8">
        <v>5786</v>
      </c>
      <c r="I48" s="7">
        <f t="shared" si="0"/>
        <v>11630.367</v>
      </c>
    </row>
    <row r="49" spans="1:9" ht="15.75" x14ac:dyDescent="0.5">
      <c r="A49" s="1" t="s">
        <v>24</v>
      </c>
      <c r="B49" s="6">
        <v>43344</v>
      </c>
      <c r="C49" s="6" t="s">
        <v>21</v>
      </c>
      <c r="D49" s="7">
        <v>5291.1180000000004</v>
      </c>
      <c r="E49" s="8">
        <v>3361</v>
      </c>
      <c r="F49" s="8">
        <v>1814</v>
      </c>
      <c r="G49" s="8">
        <v>285</v>
      </c>
      <c r="H49" s="8">
        <v>5460</v>
      </c>
      <c r="I49" s="7">
        <f t="shared" si="0"/>
        <v>10751.118</v>
      </c>
    </row>
    <row r="50" spans="1:9" ht="15.75" x14ac:dyDescent="0.5">
      <c r="A50" s="1" t="s">
        <v>25</v>
      </c>
      <c r="B50" s="6">
        <v>43374</v>
      </c>
      <c r="C50" s="6" t="s">
        <v>10</v>
      </c>
      <c r="D50" s="7">
        <v>5660.29</v>
      </c>
      <c r="E50" s="8">
        <v>3106</v>
      </c>
      <c r="F50" s="8">
        <v>2024</v>
      </c>
      <c r="G50" s="8">
        <v>1348</v>
      </c>
      <c r="H50" s="8">
        <v>6478</v>
      </c>
      <c r="I50" s="7">
        <f t="shared" si="0"/>
        <v>12138.29</v>
      </c>
    </row>
    <row r="51" spans="1:9" ht="15.75" x14ac:dyDescent="0.5">
      <c r="A51" s="1" t="s">
        <v>25</v>
      </c>
      <c r="B51" s="6">
        <v>43405</v>
      </c>
      <c r="C51" s="6" t="s">
        <v>11</v>
      </c>
      <c r="D51" s="7">
        <v>5084.1450000000004</v>
      </c>
      <c r="E51" s="8">
        <v>3646</v>
      </c>
      <c r="F51" s="8">
        <v>1243</v>
      </c>
      <c r="G51" s="8">
        <v>3119</v>
      </c>
      <c r="H51" s="8">
        <v>8008</v>
      </c>
      <c r="I51" s="7">
        <f t="shared" si="0"/>
        <v>13092.145</v>
      </c>
    </row>
    <row r="52" spans="1:9" ht="15.75" x14ac:dyDescent="0.5">
      <c r="A52" s="1" t="s">
        <v>25</v>
      </c>
      <c r="B52" s="6">
        <v>43435</v>
      </c>
      <c r="C52" s="6" t="s">
        <v>12</v>
      </c>
      <c r="D52" s="7">
        <v>4302.8230000000003</v>
      </c>
      <c r="E52" s="8">
        <v>3637</v>
      </c>
      <c r="F52" s="8">
        <v>1387</v>
      </c>
      <c r="G52" s="8">
        <v>3261</v>
      </c>
      <c r="H52" s="8">
        <v>8285</v>
      </c>
      <c r="I52" s="7">
        <f t="shared" si="0"/>
        <v>12587.823</v>
      </c>
    </row>
    <row r="53" spans="1:9" ht="15.75" x14ac:dyDescent="0.5">
      <c r="A53" s="1" t="s">
        <v>25</v>
      </c>
      <c r="B53" s="6">
        <v>43466</v>
      </c>
      <c r="C53" s="6" t="s">
        <v>13</v>
      </c>
      <c r="D53" s="7">
        <v>4778.01</v>
      </c>
      <c r="E53" s="8">
        <v>3832</v>
      </c>
      <c r="F53" s="8">
        <v>1036</v>
      </c>
      <c r="G53" s="8">
        <v>3378</v>
      </c>
      <c r="H53" s="8">
        <v>8246</v>
      </c>
      <c r="I53" s="7">
        <f t="shared" si="0"/>
        <v>13024.01</v>
      </c>
    </row>
    <row r="54" spans="1:9" ht="15.75" x14ac:dyDescent="0.5">
      <c r="A54" s="1" t="s">
        <v>25</v>
      </c>
      <c r="B54" s="6">
        <v>43525</v>
      </c>
      <c r="C54" s="6" t="s">
        <v>15</v>
      </c>
      <c r="D54" s="7">
        <v>4652.4719999999998</v>
      </c>
      <c r="E54" s="8">
        <v>827</v>
      </c>
      <c r="F54" s="8">
        <v>3692</v>
      </c>
      <c r="G54" s="8">
        <v>3771</v>
      </c>
      <c r="H54" s="8">
        <v>8290</v>
      </c>
      <c r="I54" s="7">
        <f t="shared" si="0"/>
        <v>12942.472</v>
      </c>
    </row>
    <row r="55" spans="1:9" ht="15.75" x14ac:dyDescent="0.5">
      <c r="A55" s="1" t="s">
        <v>25</v>
      </c>
      <c r="B55" s="6">
        <v>43556</v>
      </c>
      <c r="C55" s="6" t="s">
        <v>16</v>
      </c>
      <c r="D55" s="7">
        <v>5471.9549999999999</v>
      </c>
      <c r="E55" s="8">
        <v>348</v>
      </c>
      <c r="F55" s="8">
        <v>3882</v>
      </c>
      <c r="G55" s="8">
        <v>3653</v>
      </c>
      <c r="H55" s="8">
        <v>7883</v>
      </c>
      <c r="I55" s="7">
        <f t="shared" si="0"/>
        <v>13354.955</v>
      </c>
    </row>
    <row r="56" spans="1:9" ht="15.75" x14ac:dyDescent="0.5">
      <c r="A56" s="1" t="s">
        <v>25</v>
      </c>
      <c r="B56" s="6">
        <v>43586</v>
      </c>
      <c r="C56" s="6" t="s">
        <v>17</v>
      </c>
      <c r="D56" s="7">
        <v>4746.8540000000003</v>
      </c>
      <c r="E56" s="8">
        <v>954</v>
      </c>
      <c r="F56" s="8">
        <v>4093</v>
      </c>
      <c r="G56" s="8">
        <v>3805</v>
      </c>
      <c r="H56" s="8">
        <v>8852</v>
      </c>
      <c r="I56" s="7">
        <f t="shared" si="0"/>
        <v>13598.853999999999</v>
      </c>
    </row>
    <row r="57" spans="1:9" ht="15.75" x14ac:dyDescent="0.5">
      <c r="A57" s="1" t="s">
        <v>25</v>
      </c>
      <c r="B57" s="6">
        <v>43617</v>
      </c>
      <c r="C57" s="6" t="s">
        <v>18</v>
      </c>
      <c r="D57" s="7">
        <v>2972.3989999999999</v>
      </c>
      <c r="E57" s="8">
        <v>1114</v>
      </c>
      <c r="F57" s="8">
        <v>2987</v>
      </c>
      <c r="G57" s="8">
        <v>2211</v>
      </c>
      <c r="H57" s="8">
        <v>6312</v>
      </c>
      <c r="I57" s="7">
        <f t="shared" si="0"/>
        <v>9284.3989999999994</v>
      </c>
    </row>
    <row r="58" spans="1:9" ht="15.75" x14ac:dyDescent="0.5">
      <c r="A58" s="1" t="s">
        <v>25</v>
      </c>
      <c r="B58" s="6">
        <v>43647</v>
      </c>
      <c r="C58" s="6" t="s">
        <v>19</v>
      </c>
      <c r="D58" s="7">
        <v>3125.518</v>
      </c>
      <c r="E58" s="8">
        <v>5926</v>
      </c>
      <c r="F58" s="8">
        <v>4426</v>
      </c>
      <c r="G58" s="8">
        <v>1575</v>
      </c>
      <c r="H58" s="8">
        <v>11927</v>
      </c>
      <c r="I58" s="7">
        <f t="shared" si="0"/>
        <v>15052.518</v>
      </c>
    </row>
    <row r="59" spans="1:9" ht="15.75" x14ac:dyDescent="0.5">
      <c r="A59" s="1" t="s">
        <v>25</v>
      </c>
      <c r="B59" s="6">
        <v>43678</v>
      </c>
      <c r="C59" s="6" t="s">
        <v>20</v>
      </c>
      <c r="D59" s="7">
        <v>2795.105</v>
      </c>
      <c r="E59" s="8">
        <v>7316</v>
      </c>
      <c r="F59" s="8">
        <v>3429</v>
      </c>
      <c r="G59" s="8">
        <v>279</v>
      </c>
      <c r="H59" s="8">
        <v>11024</v>
      </c>
      <c r="I59" s="7">
        <f t="shared" si="0"/>
        <v>13819.105</v>
      </c>
    </row>
    <row r="60" spans="1:9" ht="15.75" x14ac:dyDescent="0.5">
      <c r="A60" s="1" t="s">
        <v>25</v>
      </c>
      <c r="B60" s="6">
        <v>43709</v>
      </c>
      <c r="C60" s="6" t="s">
        <v>21</v>
      </c>
      <c r="D60" s="7">
        <v>2051.7269999999999</v>
      </c>
      <c r="E60" s="8">
        <v>6439</v>
      </c>
      <c r="F60" s="8">
        <v>3261</v>
      </c>
      <c r="G60" s="8">
        <v>175</v>
      </c>
      <c r="H60" s="8">
        <v>9875</v>
      </c>
      <c r="I60" s="7">
        <f t="shared" si="0"/>
        <v>11926.726999999999</v>
      </c>
    </row>
    <row r="61" spans="1:9" ht="15.75" x14ac:dyDescent="0.5">
      <c r="A61" s="1" t="s">
        <v>26</v>
      </c>
      <c r="B61" s="6">
        <v>43739</v>
      </c>
      <c r="C61" s="6" t="s">
        <v>10</v>
      </c>
      <c r="D61" s="7">
        <v>2306.1109999999999</v>
      </c>
      <c r="E61" s="8">
        <v>6021</v>
      </c>
      <c r="F61" s="8">
        <v>3187</v>
      </c>
      <c r="G61" s="8">
        <v>2291</v>
      </c>
      <c r="H61" s="8">
        <v>11499</v>
      </c>
      <c r="I61" s="7">
        <f t="shared" si="0"/>
        <v>13805.111000000001</v>
      </c>
    </row>
    <row r="62" spans="1:9" ht="15.75" x14ac:dyDescent="0.5">
      <c r="A62" s="1" t="s">
        <v>26</v>
      </c>
      <c r="B62" s="6">
        <v>43770</v>
      </c>
      <c r="C62" s="6" t="s">
        <v>11</v>
      </c>
      <c r="D62" s="7">
        <v>2506.248</v>
      </c>
      <c r="E62" s="8">
        <v>4107</v>
      </c>
      <c r="F62" s="8">
        <v>2864</v>
      </c>
      <c r="G62" s="8">
        <v>3201</v>
      </c>
      <c r="H62" s="8">
        <v>10172</v>
      </c>
      <c r="I62" s="7">
        <f t="shared" si="0"/>
        <v>12678.248</v>
      </c>
    </row>
    <row r="63" spans="1:9" ht="15.75" x14ac:dyDescent="0.5">
      <c r="A63" s="1" t="s">
        <v>26</v>
      </c>
      <c r="B63" s="6">
        <v>43800</v>
      </c>
      <c r="C63" s="6" t="s">
        <v>12</v>
      </c>
      <c r="D63" s="7">
        <v>2569.92</v>
      </c>
      <c r="E63" s="8">
        <v>4160</v>
      </c>
      <c r="F63" s="8">
        <v>1885</v>
      </c>
      <c r="G63" s="8">
        <v>4257</v>
      </c>
      <c r="H63" s="8">
        <v>10302</v>
      </c>
      <c r="I63" s="7">
        <f t="shared" si="0"/>
        <v>12871.92</v>
      </c>
    </row>
    <row r="64" spans="1:9" ht="15.75" x14ac:dyDescent="0.5">
      <c r="A64" s="1" t="s">
        <v>26</v>
      </c>
      <c r="B64" s="6">
        <v>43831</v>
      </c>
      <c r="C64" s="6" t="s">
        <v>13</v>
      </c>
      <c r="D64" s="7">
        <v>2474.8649999999998</v>
      </c>
      <c r="E64" s="8">
        <v>2086</v>
      </c>
      <c r="F64" s="8">
        <v>1862</v>
      </c>
      <c r="G64" s="8">
        <v>4542</v>
      </c>
      <c r="H64" s="8">
        <v>8490</v>
      </c>
      <c r="I64" s="7">
        <f t="shared" si="0"/>
        <v>10964.865</v>
      </c>
    </row>
    <row r="65" spans="1:9" ht="15.75" x14ac:dyDescent="0.5">
      <c r="A65" s="1" t="s">
        <v>26</v>
      </c>
      <c r="B65" s="6">
        <v>43862</v>
      </c>
      <c r="C65" s="6" t="s">
        <v>14</v>
      </c>
      <c r="D65" s="7">
        <v>3906.41</v>
      </c>
      <c r="E65" s="8">
        <v>339</v>
      </c>
      <c r="F65" s="8">
        <v>1663</v>
      </c>
      <c r="G65" s="8">
        <v>3455</v>
      </c>
      <c r="H65" s="8">
        <v>5457</v>
      </c>
      <c r="I65" s="7">
        <f t="shared" si="0"/>
        <v>9363.41</v>
      </c>
    </row>
    <row r="66" spans="1:9" ht="15.75" x14ac:dyDescent="0.5">
      <c r="A66" s="1" t="s">
        <v>26</v>
      </c>
      <c r="B66" s="6">
        <v>43891</v>
      </c>
      <c r="C66" s="6" t="s">
        <v>15</v>
      </c>
      <c r="D66" s="7">
        <v>4612.7700000000004</v>
      </c>
      <c r="E66" s="8">
        <v>471</v>
      </c>
      <c r="F66" s="8">
        <v>3652</v>
      </c>
      <c r="G66" s="8">
        <v>3526</v>
      </c>
      <c r="H66" s="8">
        <v>7649</v>
      </c>
      <c r="I66" s="7">
        <f t="shared" si="0"/>
        <v>12261.77</v>
      </c>
    </row>
    <row r="67" spans="1:9" ht="15.75" x14ac:dyDescent="0.5">
      <c r="A67" s="1" t="s">
        <v>26</v>
      </c>
      <c r="B67" s="6">
        <v>43922</v>
      </c>
      <c r="C67" s="6" t="s">
        <v>16</v>
      </c>
      <c r="D67" s="7">
        <v>5052.0529999999999</v>
      </c>
      <c r="E67" s="8">
        <v>6</v>
      </c>
      <c r="F67" s="8">
        <v>4205</v>
      </c>
      <c r="G67" s="8">
        <v>3090</v>
      </c>
      <c r="H67" s="8">
        <v>7301</v>
      </c>
      <c r="I67" s="7">
        <f t="shared" ref="I67:I130" si="1">D67+E67+F67+G67</f>
        <v>12353.053</v>
      </c>
    </row>
    <row r="68" spans="1:9" ht="15.75" x14ac:dyDescent="0.5">
      <c r="A68" s="1" t="s">
        <v>26</v>
      </c>
      <c r="B68" s="6">
        <v>43952</v>
      </c>
      <c r="C68" s="6" t="s">
        <v>17</v>
      </c>
      <c r="D68" s="7">
        <v>5652.0649999999996</v>
      </c>
      <c r="E68" s="8">
        <v>25</v>
      </c>
      <c r="F68" s="8">
        <v>4086</v>
      </c>
      <c r="G68" s="8">
        <v>2379</v>
      </c>
      <c r="H68" s="8">
        <v>6490</v>
      </c>
      <c r="I68" s="7">
        <f t="shared" si="1"/>
        <v>12142.064999999999</v>
      </c>
    </row>
    <row r="69" spans="1:9" ht="15.75" x14ac:dyDescent="0.5">
      <c r="A69" s="1" t="s">
        <v>26</v>
      </c>
      <c r="B69" s="6">
        <v>43983</v>
      </c>
      <c r="C69" s="6" t="s">
        <v>18</v>
      </c>
      <c r="D69" s="7">
        <v>5062.6679999999997</v>
      </c>
      <c r="E69" s="8">
        <v>312</v>
      </c>
      <c r="F69" s="8">
        <v>4579</v>
      </c>
      <c r="G69" s="8">
        <v>1547</v>
      </c>
      <c r="H69" s="8">
        <v>6438</v>
      </c>
      <c r="I69" s="7">
        <f t="shared" si="1"/>
        <v>11500.668</v>
      </c>
    </row>
    <row r="70" spans="1:9" ht="15.75" x14ac:dyDescent="0.5">
      <c r="A70" s="1" t="s">
        <v>26</v>
      </c>
      <c r="B70" s="6">
        <v>44013</v>
      </c>
      <c r="C70" s="6" t="s">
        <v>19</v>
      </c>
      <c r="D70" s="7">
        <v>4425.7179999999998</v>
      </c>
      <c r="E70" s="8">
        <v>3978</v>
      </c>
      <c r="F70" s="8">
        <v>4321</v>
      </c>
      <c r="G70" s="8">
        <v>425</v>
      </c>
      <c r="H70" s="8">
        <v>8724</v>
      </c>
      <c r="I70" s="7">
        <f t="shared" si="1"/>
        <v>13149.718000000001</v>
      </c>
    </row>
    <row r="71" spans="1:9" ht="15.75" x14ac:dyDescent="0.5">
      <c r="A71" s="1" t="s">
        <v>26</v>
      </c>
      <c r="B71" s="6">
        <v>44044</v>
      </c>
      <c r="C71" s="6" t="s">
        <v>20</v>
      </c>
      <c r="D71" s="7">
        <v>4488.6059999999998</v>
      </c>
      <c r="E71" s="8">
        <v>6243</v>
      </c>
      <c r="F71" s="8">
        <v>4586</v>
      </c>
      <c r="G71" s="8">
        <v>179</v>
      </c>
      <c r="H71" s="8">
        <v>11008</v>
      </c>
      <c r="I71" s="7">
        <f t="shared" si="1"/>
        <v>15496.606</v>
      </c>
    </row>
    <row r="72" spans="1:9" ht="15.75" x14ac:dyDescent="0.5">
      <c r="A72" s="1" t="s">
        <v>26</v>
      </c>
      <c r="B72" s="6">
        <v>44075</v>
      </c>
      <c r="C72" s="6" t="s">
        <v>21</v>
      </c>
      <c r="D72" s="7">
        <v>3912.2420000000002</v>
      </c>
      <c r="E72" s="8">
        <v>6362</v>
      </c>
      <c r="F72" s="8">
        <v>3029</v>
      </c>
      <c r="G72" s="8">
        <v>29</v>
      </c>
      <c r="H72" s="8">
        <v>9420</v>
      </c>
      <c r="I72" s="7">
        <f t="shared" si="1"/>
        <v>13332.242</v>
      </c>
    </row>
    <row r="73" spans="1:9" ht="15.75" x14ac:dyDescent="0.5">
      <c r="A73" s="1" t="s">
        <v>27</v>
      </c>
      <c r="B73" s="6">
        <v>44105</v>
      </c>
      <c r="C73" s="6" t="s">
        <v>10</v>
      </c>
      <c r="D73" s="7">
        <v>3680.7939999999999</v>
      </c>
      <c r="E73" s="8">
        <v>5001</v>
      </c>
      <c r="F73" s="8">
        <v>2542</v>
      </c>
      <c r="G73" s="8">
        <v>1842</v>
      </c>
      <c r="H73" s="8">
        <v>9385</v>
      </c>
      <c r="I73" s="7">
        <f t="shared" si="1"/>
        <v>13065.794</v>
      </c>
    </row>
    <row r="74" spans="1:9" ht="15.75" x14ac:dyDescent="0.5">
      <c r="A74" s="1" t="s">
        <v>27</v>
      </c>
      <c r="B74" s="6">
        <v>44136</v>
      </c>
      <c r="C74" s="6" t="s">
        <v>11</v>
      </c>
      <c r="D74" s="7">
        <v>3794.491</v>
      </c>
      <c r="E74" s="8">
        <v>4729</v>
      </c>
      <c r="F74" s="8">
        <v>1520</v>
      </c>
      <c r="G74" s="8">
        <v>3106</v>
      </c>
      <c r="H74" s="8">
        <v>9355</v>
      </c>
      <c r="I74" s="7">
        <f t="shared" si="1"/>
        <v>13149.491</v>
      </c>
    </row>
    <row r="75" spans="1:9" ht="15.75" x14ac:dyDescent="0.5">
      <c r="A75" s="1" t="s">
        <v>27</v>
      </c>
      <c r="B75" s="6">
        <v>44166</v>
      </c>
      <c r="C75" s="6" t="s">
        <v>12</v>
      </c>
      <c r="D75" s="7">
        <v>4754.3410000000003</v>
      </c>
      <c r="E75" s="8">
        <v>4850</v>
      </c>
      <c r="F75" s="8">
        <v>986</v>
      </c>
      <c r="G75" s="8">
        <v>3824</v>
      </c>
      <c r="H75" s="8">
        <v>9660</v>
      </c>
      <c r="I75" s="7">
        <f t="shared" si="1"/>
        <v>14414.341</v>
      </c>
    </row>
    <row r="76" spans="1:9" ht="15.75" x14ac:dyDescent="0.5">
      <c r="A76" s="1" t="s">
        <v>27</v>
      </c>
      <c r="B76" s="6">
        <v>44197</v>
      </c>
      <c r="C76" s="6" t="s">
        <v>13</v>
      </c>
      <c r="D76" s="7">
        <v>5872.625</v>
      </c>
      <c r="E76" s="8">
        <v>2357</v>
      </c>
      <c r="F76" s="8">
        <v>1682</v>
      </c>
      <c r="G76" s="8">
        <v>1995</v>
      </c>
      <c r="H76" s="8">
        <v>6034</v>
      </c>
      <c r="I76" s="7">
        <f t="shared" si="1"/>
        <v>11906.625</v>
      </c>
    </row>
    <row r="77" spans="1:9" ht="15.75" x14ac:dyDescent="0.5">
      <c r="A77" s="1" t="s">
        <v>27</v>
      </c>
      <c r="B77" s="6">
        <v>44228</v>
      </c>
      <c r="C77" s="6" t="s">
        <v>14</v>
      </c>
      <c r="D77" s="7">
        <v>6471.5020000000004</v>
      </c>
      <c r="E77" s="8">
        <v>775</v>
      </c>
      <c r="F77" s="8">
        <v>1074</v>
      </c>
      <c r="G77" s="8">
        <v>2474</v>
      </c>
      <c r="H77" s="8">
        <v>4323</v>
      </c>
      <c r="I77" s="7">
        <f t="shared" si="1"/>
        <v>10794.502</v>
      </c>
    </row>
    <row r="78" spans="1:9" ht="15.75" x14ac:dyDescent="0.5">
      <c r="A78" s="1" t="s">
        <v>27</v>
      </c>
      <c r="B78" s="6">
        <v>44256</v>
      </c>
      <c r="C78" s="6" t="s">
        <v>15</v>
      </c>
      <c r="D78" s="7">
        <v>9308.3089999999993</v>
      </c>
      <c r="E78" s="8">
        <v>289</v>
      </c>
      <c r="F78" s="8">
        <v>2912</v>
      </c>
      <c r="G78" s="8">
        <v>2618</v>
      </c>
      <c r="H78" s="8">
        <v>5819</v>
      </c>
      <c r="I78" s="7">
        <f t="shared" si="1"/>
        <v>15127.308999999999</v>
      </c>
    </row>
    <row r="79" spans="1:9" ht="15.75" x14ac:dyDescent="0.5">
      <c r="A79" s="1" t="s">
        <v>27</v>
      </c>
      <c r="B79" s="6">
        <v>44287</v>
      </c>
      <c r="C79" s="6" t="s">
        <v>16</v>
      </c>
      <c r="D79" s="7">
        <v>8330.2649999999994</v>
      </c>
      <c r="E79" s="8">
        <v>129</v>
      </c>
      <c r="F79" s="8">
        <v>4251</v>
      </c>
      <c r="G79" s="8">
        <v>2627</v>
      </c>
      <c r="H79" s="8">
        <v>7007</v>
      </c>
      <c r="I79" s="7">
        <f t="shared" si="1"/>
        <v>15337.264999999999</v>
      </c>
    </row>
    <row r="80" spans="1:9" ht="15.75" x14ac:dyDescent="0.5">
      <c r="A80" s="1" t="s">
        <v>27</v>
      </c>
      <c r="B80" s="6">
        <v>44317</v>
      </c>
      <c r="C80" s="6" t="s">
        <v>17</v>
      </c>
      <c r="D80" s="7">
        <v>8478.6630000000005</v>
      </c>
      <c r="E80" s="8">
        <v>14</v>
      </c>
      <c r="F80" s="8">
        <v>3432</v>
      </c>
      <c r="G80" s="8">
        <v>2245</v>
      </c>
      <c r="H80" s="8">
        <v>5691</v>
      </c>
      <c r="I80" s="7">
        <f t="shared" si="1"/>
        <v>14169.663</v>
      </c>
    </row>
    <row r="81" spans="1:9" ht="15.75" x14ac:dyDescent="0.5">
      <c r="A81" s="1" t="s">
        <v>27</v>
      </c>
      <c r="B81" s="6">
        <v>44348</v>
      </c>
      <c r="C81" s="6" t="s">
        <v>18</v>
      </c>
      <c r="D81" s="7">
        <v>6336.049</v>
      </c>
      <c r="E81" s="8">
        <v>91</v>
      </c>
      <c r="F81" s="8">
        <v>4171</v>
      </c>
      <c r="G81" s="8">
        <v>1698</v>
      </c>
      <c r="H81" s="8">
        <v>5960</v>
      </c>
      <c r="I81" s="7">
        <f t="shared" si="1"/>
        <v>12296.048999999999</v>
      </c>
    </row>
    <row r="82" spans="1:9" ht="15.75" x14ac:dyDescent="0.5">
      <c r="A82" s="1" t="s">
        <v>27</v>
      </c>
      <c r="B82" s="6">
        <v>44378</v>
      </c>
      <c r="C82" s="6" t="s">
        <v>19</v>
      </c>
      <c r="D82" s="7">
        <v>5475.8760000000002</v>
      </c>
      <c r="E82" s="8">
        <v>1990</v>
      </c>
      <c r="F82" s="8">
        <v>4927</v>
      </c>
      <c r="G82" s="8">
        <v>961</v>
      </c>
      <c r="H82" s="8">
        <v>7878</v>
      </c>
      <c r="I82" s="7">
        <f t="shared" si="1"/>
        <v>13353.876</v>
      </c>
    </row>
    <row r="83" spans="1:9" ht="15.75" x14ac:dyDescent="0.5">
      <c r="A83" s="1" t="s">
        <v>27</v>
      </c>
      <c r="B83" s="6">
        <v>44409</v>
      </c>
      <c r="C83" s="6" t="s">
        <v>20</v>
      </c>
      <c r="D83" s="7">
        <v>3293.279</v>
      </c>
      <c r="E83" s="8">
        <v>4334</v>
      </c>
      <c r="F83" s="8">
        <v>4689</v>
      </c>
      <c r="G83" s="8">
        <v>302</v>
      </c>
      <c r="H83" s="8">
        <v>9325</v>
      </c>
      <c r="I83" s="7">
        <f t="shared" si="1"/>
        <v>12618.279</v>
      </c>
    </row>
    <row r="84" spans="1:9" ht="15.75" x14ac:dyDescent="0.5">
      <c r="A84" s="1" t="s">
        <v>27</v>
      </c>
      <c r="B84" s="6">
        <v>44440</v>
      </c>
      <c r="C84" s="6" t="s">
        <v>21</v>
      </c>
      <c r="D84" s="7">
        <v>2429.0949999999998</v>
      </c>
      <c r="E84" s="8">
        <v>2849</v>
      </c>
      <c r="F84" s="8">
        <v>4350</v>
      </c>
      <c r="G84" s="8">
        <v>165</v>
      </c>
      <c r="H84" s="8">
        <v>7364</v>
      </c>
      <c r="I84" s="7">
        <f t="shared" si="1"/>
        <v>9793.0949999999993</v>
      </c>
    </row>
    <row r="85" spans="1:9" ht="15.75" x14ac:dyDescent="0.5">
      <c r="A85" s="1" t="s">
        <v>28</v>
      </c>
      <c r="B85" s="6">
        <v>44470</v>
      </c>
      <c r="C85" s="6" t="s">
        <v>10</v>
      </c>
      <c r="D85" s="7">
        <v>4028.3270000000002</v>
      </c>
      <c r="E85" s="8">
        <v>1798</v>
      </c>
      <c r="F85" s="8">
        <v>3793</v>
      </c>
      <c r="G85" s="8">
        <v>895</v>
      </c>
      <c r="H85" s="8">
        <v>6486</v>
      </c>
      <c r="I85" s="7">
        <f t="shared" si="1"/>
        <v>10514.327000000001</v>
      </c>
    </row>
    <row r="86" spans="1:9" ht="15.75" x14ac:dyDescent="0.5">
      <c r="A86" s="1" t="s">
        <v>28</v>
      </c>
      <c r="B86" s="6">
        <v>44501</v>
      </c>
      <c r="C86" s="6" t="s">
        <v>11</v>
      </c>
      <c r="D86" s="7">
        <v>4464.8969999999999</v>
      </c>
      <c r="E86" s="8">
        <v>2384</v>
      </c>
      <c r="F86" s="8">
        <v>2477</v>
      </c>
      <c r="G86" s="8">
        <v>3792</v>
      </c>
      <c r="H86" s="8">
        <v>8653</v>
      </c>
      <c r="I86" s="7">
        <f t="shared" si="1"/>
        <v>13117.897000000001</v>
      </c>
    </row>
    <row r="87" spans="1:9" ht="15.75" x14ac:dyDescent="0.5">
      <c r="A87" s="1" t="s">
        <v>28</v>
      </c>
      <c r="B87" s="6">
        <v>44531</v>
      </c>
      <c r="C87" s="6" t="s">
        <v>12</v>
      </c>
      <c r="D87" s="7">
        <v>4708.47</v>
      </c>
      <c r="E87" s="8">
        <v>3440</v>
      </c>
      <c r="F87" s="8">
        <v>2333</v>
      </c>
      <c r="G87" s="8">
        <v>4896</v>
      </c>
      <c r="H87" s="8">
        <v>10669</v>
      </c>
      <c r="I87" s="7">
        <f t="shared" si="1"/>
        <v>15377.470000000001</v>
      </c>
    </row>
    <row r="88" spans="1:9" ht="15.75" x14ac:dyDescent="0.5">
      <c r="A88" s="1" t="s">
        <v>28</v>
      </c>
      <c r="B88" s="6">
        <v>44562</v>
      </c>
      <c r="C88" s="6" t="s">
        <v>13</v>
      </c>
      <c r="D88" s="7">
        <v>5757.13</v>
      </c>
      <c r="E88" s="8">
        <v>2731</v>
      </c>
      <c r="F88" s="8">
        <v>1849</v>
      </c>
      <c r="G88" s="8">
        <v>4500</v>
      </c>
      <c r="H88" s="8">
        <v>9080</v>
      </c>
      <c r="I88" s="7">
        <f t="shared" si="1"/>
        <v>14837.130000000001</v>
      </c>
    </row>
    <row r="89" spans="1:9" ht="15.75" x14ac:dyDescent="0.5">
      <c r="A89" s="1" t="s">
        <v>28</v>
      </c>
      <c r="B89" s="6">
        <v>44593</v>
      </c>
      <c r="C89" s="6" t="s">
        <v>14</v>
      </c>
      <c r="D89" s="7">
        <v>6381.3029999999999</v>
      </c>
      <c r="E89" s="8">
        <v>767</v>
      </c>
      <c r="F89" s="8">
        <v>1747</v>
      </c>
      <c r="G89" s="8">
        <v>3803</v>
      </c>
      <c r="H89" s="8">
        <v>6317</v>
      </c>
      <c r="I89" s="7">
        <f t="shared" si="1"/>
        <v>12698.303</v>
      </c>
    </row>
    <row r="90" spans="1:9" ht="15.75" x14ac:dyDescent="0.5">
      <c r="A90" s="1" t="s">
        <v>28</v>
      </c>
      <c r="B90" s="6">
        <v>44621</v>
      </c>
      <c r="C90" s="6" t="s">
        <v>15</v>
      </c>
      <c r="D90" s="7">
        <v>7458.3670000000002</v>
      </c>
      <c r="E90" s="8">
        <v>14</v>
      </c>
      <c r="F90" s="8">
        <v>3206</v>
      </c>
      <c r="G90" s="8">
        <v>1110</v>
      </c>
      <c r="H90" s="8">
        <v>4330</v>
      </c>
      <c r="I90" s="7">
        <f t="shared" si="1"/>
        <v>11788.367</v>
      </c>
    </row>
    <row r="91" spans="1:9" ht="15.75" x14ac:dyDescent="0.5">
      <c r="A91" s="1" t="s">
        <v>28</v>
      </c>
      <c r="B91" s="6">
        <v>44652</v>
      </c>
      <c r="C91" s="6" t="s">
        <v>16</v>
      </c>
      <c r="D91" s="7">
        <v>6992.5569999999998</v>
      </c>
      <c r="E91" s="8">
        <v>698</v>
      </c>
      <c r="F91" s="8">
        <v>4162</v>
      </c>
      <c r="G91" s="8">
        <v>768</v>
      </c>
      <c r="H91" s="8">
        <v>5628</v>
      </c>
      <c r="I91" s="7">
        <f t="shared" si="1"/>
        <v>12620.557000000001</v>
      </c>
    </row>
    <row r="92" spans="1:9" ht="15.75" x14ac:dyDescent="0.5">
      <c r="A92" s="1" t="s">
        <v>28</v>
      </c>
      <c r="B92" s="6">
        <v>44682</v>
      </c>
      <c r="C92" s="6" t="s">
        <v>17</v>
      </c>
      <c r="D92" s="7">
        <v>7214.74</v>
      </c>
      <c r="E92" s="8">
        <v>1087</v>
      </c>
      <c r="F92" s="8">
        <v>3866</v>
      </c>
      <c r="G92" s="8">
        <v>1139</v>
      </c>
      <c r="H92" s="8">
        <v>6092</v>
      </c>
      <c r="I92" s="7">
        <f t="shared" si="1"/>
        <v>13306.74</v>
      </c>
    </row>
    <row r="93" spans="1:9" ht="15.75" x14ac:dyDescent="0.5">
      <c r="A93" s="1" t="s">
        <v>28</v>
      </c>
      <c r="B93" s="6">
        <v>44713</v>
      </c>
      <c r="C93" s="6" t="s">
        <v>18</v>
      </c>
      <c r="D93" s="7">
        <v>5488.55</v>
      </c>
      <c r="E93" s="8">
        <v>991</v>
      </c>
      <c r="F93" s="8">
        <v>3788</v>
      </c>
      <c r="G93" s="8">
        <v>1212</v>
      </c>
      <c r="H93" s="8">
        <v>5991</v>
      </c>
      <c r="I93" s="7">
        <f t="shared" si="1"/>
        <v>11479.55</v>
      </c>
    </row>
    <row r="94" spans="1:9" ht="15.75" x14ac:dyDescent="0.5">
      <c r="A94" s="1" t="s">
        <v>28</v>
      </c>
      <c r="B94" s="6">
        <v>44743</v>
      </c>
      <c r="C94" s="6" t="s">
        <v>19</v>
      </c>
      <c r="D94" s="7">
        <v>4477.74</v>
      </c>
      <c r="E94" s="8">
        <v>4118</v>
      </c>
      <c r="F94" s="8">
        <v>4963</v>
      </c>
      <c r="G94" s="8">
        <v>1165</v>
      </c>
      <c r="H94" s="8">
        <v>10246</v>
      </c>
      <c r="I94" s="7">
        <f t="shared" si="1"/>
        <v>14723.74</v>
      </c>
    </row>
    <row r="95" spans="1:9" ht="15.75" x14ac:dyDescent="0.5">
      <c r="A95" s="1" t="s">
        <v>28</v>
      </c>
      <c r="B95" s="6">
        <v>44774</v>
      </c>
      <c r="C95" s="6" t="s">
        <v>20</v>
      </c>
      <c r="D95" s="7">
        <v>3325.5520000000001</v>
      </c>
      <c r="E95" s="8">
        <v>7443</v>
      </c>
      <c r="F95" s="8">
        <v>3825</v>
      </c>
      <c r="G95" s="8">
        <v>1532</v>
      </c>
      <c r="H95" s="8">
        <v>12800</v>
      </c>
      <c r="I95" s="7">
        <f t="shared" si="1"/>
        <v>16125.552</v>
      </c>
    </row>
    <row r="96" spans="1:9" ht="15.75" x14ac:dyDescent="0.5">
      <c r="A96" s="1" t="s">
        <v>28</v>
      </c>
      <c r="B96" s="6">
        <v>44805</v>
      </c>
      <c r="C96" s="6" t="s">
        <v>21</v>
      </c>
      <c r="D96" s="7">
        <v>2529.7339999999999</v>
      </c>
      <c r="E96" s="8">
        <v>6419</v>
      </c>
      <c r="F96" s="8">
        <v>2836</v>
      </c>
      <c r="G96" s="8">
        <v>2149</v>
      </c>
      <c r="H96" s="8">
        <v>11404</v>
      </c>
      <c r="I96" s="7">
        <f t="shared" si="1"/>
        <v>13933.734</v>
      </c>
    </row>
    <row r="97" spans="1:9" ht="15.75" x14ac:dyDescent="0.5">
      <c r="A97" s="1" t="s">
        <v>29</v>
      </c>
      <c r="B97" s="6">
        <v>44835</v>
      </c>
      <c r="C97" s="6" t="s">
        <v>10</v>
      </c>
      <c r="D97" s="7">
        <v>2181.837</v>
      </c>
      <c r="E97" s="8">
        <v>6781</v>
      </c>
      <c r="F97" s="8">
        <v>2117</v>
      </c>
      <c r="G97" s="8">
        <v>2205</v>
      </c>
      <c r="H97" s="8">
        <v>11103</v>
      </c>
      <c r="I97" s="7">
        <f t="shared" si="1"/>
        <v>13284.837</v>
      </c>
    </row>
    <row r="98" spans="1:9" ht="15.75" x14ac:dyDescent="0.5">
      <c r="A98" s="1" t="s">
        <v>29</v>
      </c>
      <c r="B98" s="6">
        <v>44866</v>
      </c>
      <c r="C98" s="6" t="s">
        <v>11</v>
      </c>
      <c r="D98" s="7">
        <v>2449.7660000000001</v>
      </c>
      <c r="E98" s="8">
        <v>5887</v>
      </c>
      <c r="F98" s="8">
        <v>1846</v>
      </c>
      <c r="G98" s="8">
        <v>2509</v>
      </c>
      <c r="H98" s="8">
        <v>10242</v>
      </c>
      <c r="I98" s="7">
        <f t="shared" si="1"/>
        <v>12691.766</v>
      </c>
    </row>
    <row r="99" spans="1:9" ht="15.75" x14ac:dyDescent="0.5">
      <c r="A99" s="1" t="s">
        <v>29</v>
      </c>
      <c r="B99" s="6">
        <v>44896</v>
      </c>
      <c r="C99" s="6" t="s">
        <v>12</v>
      </c>
      <c r="D99" s="7">
        <v>3643.5790000000002</v>
      </c>
      <c r="E99" s="8">
        <v>6309</v>
      </c>
      <c r="F99" s="8">
        <v>1475</v>
      </c>
      <c r="G99" s="8">
        <v>3053</v>
      </c>
      <c r="H99" s="8">
        <v>10837</v>
      </c>
      <c r="I99" s="7">
        <f t="shared" si="1"/>
        <v>14480.579</v>
      </c>
    </row>
    <row r="100" spans="1:9" ht="15.75" x14ac:dyDescent="0.5">
      <c r="A100" s="1" t="s">
        <v>29</v>
      </c>
      <c r="B100" s="6">
        <v>44927</v>
      </c>
      <c r="C100" s="6" t="s">
        <v>13</v>
      </c>
      <c r="D100" s="7">
        <v>3103.03</v>
      </c>
      <c r="E100" s="8">
        <v>6138</v>
      </c>
      <c r="F100" s="8">
        <v>1007</v>
      </c>
      <c r="G100" s="8">
        <v>2671</v>
      </c>
      <c r="H100" s="8">
        <v>9816</v>
      </c>
      <c r="I100" s="7">
        <f t="shared" si="1"/>
        <v>12919.03</v>
      </c>
    </row>
    <row r="101" spans="1:9" ht="15.75" x14ac:dyDescent="0.5">
      <c r="A101" s="1" t="s">
        <v>29</v>
      </c>
      <c r="B101" s="6">
        <v>44958</v>
      </c>
      <c r="C101" s="6" t="s">
        <v>14</v>
      </c>
      <c r="D101" s="7">
        <v>3370.4290000000001</v>
      </c>
      <c r="E101" s="8">
        <v>2272</v>
      </c>
      <c r="F101" s="8">
        <v>1592</v>
      </c>
      <c r="G101" s="8">
        <v>3319</v>
      </c>
      <c r="H101" s="8">
        <v>7183</v>
      </c>
      <c r="I101" s="7">
        <f t="shared" si="1"/>
        <v>10553.429</v>
      </c>
    </row>
    <row r="102" spans="1:9" ht="15.75" x14ac:dyDescent="0.5">
      <c r="A102" s="1" t="s">
        <v>29</v>
      </c>
      <c r="B102" s="6">
        <v>44986</v>
      </c>
      <c r="C102" s="6" t="s">
        <v>15</v>
      </c>
      <c r="D102" s="7">
        <v>4878.7380000000003</v>
      </c>
      <c r="E102" s="8">
        <v>1335</v>
      </c>
      <c r="F102" s="8">
        <v>2137</v>
      </c>
      <c r="G102" s="8">
        <v>3799</v>
      </c>
      <c r="H102" s="8">
        <v>7271</v>
      </c>
      <c r="I102" s="7">
        <f t="shared" si="1"/>
        <v>12149.738000000001</v>
      </c>
    </row>
    <row r="103" spans="1:9" ht="15.75" x14ac:dyDescent="0.5">
      <c r="A103" s="1" t="s">
        <v>29</v>
      </c>
      <c r="B103" s="6">
        <v>45017</v>
      </c>
      <c r="C103" s="6" t="s">
        <v>16</v>
      </c>
      <c r="D103" s="7">
        <v>5024.3909999999996</v>
      </c>
      <c r="E103" s="8">
        <v>488</v>
      </c>
      <c r="F103" s="8">
        <v>1659</v>
      </c>
      <c r="G103" s="8">
        <v>2319</v>
      </c>
      <c r="H103" s="8">
        <v>4466</v>
      </c>
      <c r="I103" s="7">
        <f t="shared" si="1"/>
        <v>9490.3909999999996</v>
      </c>
    </row>
    <row r="104" spans="1:9" ht="15.75" x14ac:dyDescent="0.5">
      <c r="A104" s="1" t="s">
        <v>29</v>
      </c>
      <c r="B104" s="6">
        <v>45047</v>
      </c>
      <c r="C104" s="6" t="s">
        <v>17</v>
      </c>
      <c r="D104" s="7">
        <v>6123.4949999999999</v>
      </c>
      <c r="E104" s="8">
        <v>382</v>
      </c>
      <c r="F104" s="8">
        <v>1762</v>
      </c>
      <c r="G104" s="8">
        <v>2201</v>
      </c>
      <c r="H104" s="8">
        <v>4345</v>
      </c>
      <c r="I104" s="7">
        <f t="shared" si="1"/>
        <v>10468.494999999999</v>
      </c>
    </row>
    <row r="105" spans="1:9" ht="15.75" x14ac:dyDescent="0.5">
      <c r="A105" s="1" t="s">
        <v>29</v>
      </c>
      <c r="B105" s="6">
        <v>45078</v>
      </c>
      <c r="C105" s="6" t="s">
        <v>18</v>
      </c>
      <c r="D105" s="7">
        <v>3799.163</v>
      </c>
      <c r="E105" s="8">
        <v>1033</v>
      </c>
      <c r="F105" s="8">
        <v>2335</v>
      </c>
      <c r="G105" s="8">
        <v>2323</v>
      </c>
      <c r="H105" s="8">
        <v>5691</v>
      </c>
      <c r="I105" s="7">
        <f t="shared" si="1"/>
        <v>9490.1630000000005</v>
      </c>
    </row>
    <row r="106" spans="1:9" ht="15.75" x14ac:dyDescent="0.5">
      <c r="A106" s="1" t="s">
        <v>29</v>
      </c>
      <c r="B106" s="6">
        <v>45108</v>
      </c>
      <c r="C106" s="6" t="s">
        <v>19</v>
      </c>
      <c r="D106" s="7">
        <v>2336.5010000000002</v>
      </c>
      <c r="E106" s="8">
        <v>4248</v>
      </c>
      <c r="F106" s="8">
        <v>3055</v>
      </c>
      <c r="G106" s="8">
        <v>1153</v>
      </c>
      <c r="H106" s="8">
        <v>8456</v>
      </c>
      <c r="I106" s="7">
        <f t="shared" si="1"/>
        <v>10792.501</v>
      </c>
    </row>
    <row r="107" spans="1:9" ht="15.75" x14ac:dyDescent="0.5">
      <c r="A107" s="1" t="s">
        <v>29</v>
      </c>
      <c r="B107" s="6">
        <v>45139</v>
      </c>
      <c r="C107" s="6" t="s">
        <v>20</v>
      </c>
      <c r="D107" s="7">
        <v>2667.9119999999998</v>
      </c>
      <c r="E107" s="8">
        <v>9361</v>
      </c>
      <c r="F107" s="8">
        <v>3917</v>
      </c>
      <c r="G107" s="8">
        <v>900</v>
      </c>
      <c r="H107" s="8">
        <v>14178</v>
      </c>
      <c r="I107" s="7">
        <f t="shared" si="1"/>
        <v>16845.912</v>
      </c>
    </row>
    <row r="108" spans="1:9" ht="15.75" x14ac:dyDescent="0.5">
      <c r="A108" s="1" t="s">
        <v>29</v>
      </c>
      <c r="B108" s="6">
        <v>45170</v>
      </c>
      <c r="C108" s="6" t="s">
        <v>21</v>
      </c>
      <c r="D108" s="7">
        <v>3087.9259999999999</v>
      </c>
      <c r="E108" s="8">
        <v>8714</v>
      </c>
      <c r="F108" s="8">
        <v>2832</v>
      </c>
      <c r="G108" s="8">
        <v>630</v>
      </c>
      <c r="H108" s="8">
        <v>12176</v>
      </c>
      <c r="I108" s="7">
        <f t="shared" si="1"/>
        <v>15263.925999999999</v>
      </c>
    </row>
    <row r="109" spans="1:9" ht="15.75" x14ac:dyDescent="0.5">
      <c r="A109" s="1" t="s">
        <v>30</v>
      </c>
      <c r="B109" s="6">
        <v>45200</v>
      </c>
      <c r="C109" s="6" t="s">
        <v>10</v>
      </c>
      <c r="D109" s="7">
        <v>2697.0610000000001</v>
      </c>
      <c r="E109" s="8">
        <v>8456</v>
      </c>
      <c r="F109" s="8">
        <v>1416</v>
      </c>
      <c r="G109" s="8">
        <v>1116</v>
      </c>
      <c r="H109" s="8">
        <v>10988</v>
      </c>
      <c r="I109" s="7">
        <f t="shared" si="1"/>
        <v>13685.061</v>
      </c>
    </row>
    <row r="110" spans="1:9" ht="15.75" x14ac:dyDescent="0.5">
      <c r="A110" s="1" t="s">
        <v>30</v>
      </c>
      <c r="B110" s="6">
        <v>45231</v>
      </c>
      <c r="C110" s="6" t="s">
        <v>11</v>
      </c>
      <c r="D110" s="7">
        <v>3556.8440000000001</v>
      </c>
      <c r="E110" s="8">
        <v>7422</v>
      </c>
      <c r="F110" s="8">
        <v>1052</v>
      </c>
      <c r="G110" s="8">
        <v>2370</v>
      </c>
      <c r="H110" s="8">
        <v>10844</v>
      </c>
      <c r="I110" s="7">
        <f t="shared" si="1"/>
        <v>14400.844000000001</v>
      </c>
    </row>
    <row r="111" spans="1:9" ht="15.75" x14ac:dyDescent="0.5">
      <c r="A111" s="1" t="s">
        <v>30</v>
      </c>
      <c r="B111" s="6">
        <v>45261</v>
      </c>
      <c r="C111" s="6" t="s">
        <v>12</v>
      </c>
      <c r="D111" s="7">
        <v>4670.2730000000001</v>
      </c>
      <c r="E111" s="8">
        <v>6132</v>
      </c>
      <c r="F111" s="8">
        <v>1212</v>
      </c>
      <c r="G111" s="8">
        <v>3445</v>
      </c>
      <c r="H111" s="8">
        <v>10789</v>
      </c>
      <c r="I111" s="7">
        <f t="shared" si="1"/>
        <v>15459.273000000001</v>
      </c>
    </row>
    <row r="112" spans="1:9" ht="15.75" x14ac:dyDescent="0.5">
      <c r="A112" s="1" t="s">
        <v>30</v>
      </c>
      <c r="B112" s="6">
        <v>45292</v>
      </c>
      <c r="C112" s="6" t="s">
        <v>13</v>
      </c>
      <c r="D112" s="9">
        <v>4133.8500000000004</v>
      </c>
      <c r="E112" s="10">
        <v>4874</v>
      </c>
      <c r="F112" s="10">
        <v>1928</v>
      </c>
      <c r="G112" s="10">
        <v>3352</v>
      </c>
      <c r="H112" s="10">
        <v>10154</v>
      </c>
      <c r="I112" s="7">
        <f t="shared" si="1"/>
        <v>14287.85</v>
      </c>
    </row>
    <row r="113" spans="1:9" ht="15.75" x14ac:dyDescent="0.5">
      <c r="A113" s="1" t="s">
        <v>30</v>
      </c>
      <c r="B113" s="6">
        <v>45323</v>
      </c>
      <c r="C113" s="6" t="s">
        <v>14</v>
      </c>
      <c r="D113" s="9">
        <v>4996.9440000000004</v>
      </c>
      <c r="E113" s="10">
        <v>1720</v>
      </c>
      <c r="F113" s="10">
        <v>1930</v>
      </c>
      <c r="G113" s="10">
        <v>3015</v>
      </c>
      <c r="H113" s="10">
        <v>6665</v>
      </c>
      <c r="I113" s="7">
        <f t="shared" si="1"/>
        <v>11661.944</v>
      </c>
    </row>
    <row r="114" spans="1:9" ht="15.75" x14ac:dyDescent="0.5">
      <c r="A114" s="1" t="s">
        <v>30</v>
      </c>
      <c r="B114" s="6">
        <v>45352</v>
      </c>
      <c r="C114" s="6" t="s">
        <v>15</v>
      </c>
      <c r="D114" s="9">
        <v>5993.0119999999997</v>
      </c>
      <c r="E114" s="11">
        <v>427</v>
      </c>
      <c r="F114" s="11">
        <v>3815</v>
      </c>
      <c r="G114" s="11">
        <v>2766</v>
      </c>
      <c r="H114" s="12">
        <v>7008</v>
      </c>
      <c r="I114" s="7">
        <f t="shared" si="1"/>
        <v>13001.011999999999</v>
      </c>
    </row>
    <row r="115" spans="1:9" ht="15.75" x14ac:dyDescent="0.5">
      <c r="A115" s="1" t="s">
        <v>30</v>
      </c>
      <c r="B115" s="6">
        <v>45383</v>
      </c>
      <c r="C115" s="6" t="s">
        <v>16</v>
      </c>
      <c r="D115" s="9">
        <v>6392.835</v>
      </c>
      <c r="E115" s="13">
        <v>64</v>
      </c>
      <c r="F115" s="13">
        <v>4163</v>
      </c>
      <c r="G115" s="13">
        <v>4134</v>
      </c>
      <c r="H115" s="14">
        <v>8361</v>
      </c>
      <c r="I115" s="7">
        <f t="shared" si="1"/>
        <v>14753.834999999999</v>
      </c>
    </row>
    <row r="116" spans="1:9" ht="15.75" x14ac:dyDescent="0.5">
      <c r="A116" s="1" t="s">
        <v>30</v>
      </c>
      <c r="B116" s="6">
        <v>45413</v>
      </c>
      <c r="C116" s="6" t="s">
        <v>17</v>
      </c>
      <c r="D116" s="9">
        <v>5862.91</v>
      </c>
      <c r="E116" s="13">
        <v>412</v>
      </c>
      <c r="F116" s="13">
        <v>3304</v>
      </c>
      <c r="G116" s="13">
        <v>3677</v>
      </c>
      <c r="H116" s="14">
        <v>7393</v>
      </c>
      <c r="I116" s="7">
        <f t="shared" si="1"/>
        <v>13255.91</v>
      </c>
    </row>
    <row r="117" spans="1:9" ht="15.75" x14ac:dyDescent="0.5">
      <c r="A117" s="1" t="s">
        <v>30</v>
      </c>
      <c r="B117" s="6">
        <v>45444</v>
      </c>
      <c r="C117" s="6" t="s">
        <v>18</v>
      </c>
      <c r="D117" s="9">
        <v>5360.8530000000001</v>
      </c>
      <c r="E117" s="13">
        <v>850</v>
      </c>
      <c r="F117" s="13">
        <v>2339</v>
      </c>
      <c r="G117" s="13">
        <v>2806</v>
      </c>
      <c r="H117" s="14">
        <v>5995</v>
      </c>
      <c r="I117" s="7">
        <f t="shared" si="1"/>
        <v>11355.852999999999</v>
      </c>
    </row>
    <row r="118" spans="1:9" ht="15.75" x14ac:dyDescent="0.5">
      <c r="A118" s="1" t="s">
        <v>30</v>
      </c>
      <c r="B118" s="6">
        <v>45474</v>
      </c>
      <c r="C118" s="6" t="s">
        <v>19</v>
      </c>
      <c r="D118" s="9">
        <v>5328.3620000000001</v>
      </c>
      <c r="E118" s="13">
        <v>3552</v>
      </c>
      <c r="F118" s="13">
        <v>4015</v>
      </c>
      <c r="G118" s="13">
        <v>1559</v>
      </c>
      <c r="H118" s="14">
        <v>9126</v>
      </c>
      <c r="I118" s="7">
        <f t="shared" si="1"/>
        <v>14454.362000000001</v>
      </c>
    </row>
    <row r="119" spans="1:9" ht="15.75" x14ac:dyDescent="0.5">
      <c r="A119" s="1" t="s">
        <v>30</v>
      </c>
      <c r="B119" s="6">
        <v>45505</v>
      </c>
      <c r="C119" s="6" t="s">
        <v>20</v>
      </c>
      <c r="D119" s="9">
        <v>5099.9849999999997</v>
      </c>
      <c r="E119" s="13">
        <v>6062</v>
      </c>
      <c r="F119" s="13">
        <v>3001</v>
      </c>
      <c r="G119" s="13">
        <v>774</v>
      </c>
      <c r="H119" s="14">
        <v>9837</v>
      </c>
      <c r="I119" s="7">
        <f t="shared" si="1"/>
        <v>14936.985000000001</v>
      </c>
    </row>
    <row r="120" spans="1:9" ht="15.75" x14ac:dyDescent="0.5">
      <c r="A120" s="1" t="s">
        <v>30</v>
      </c>
      <c r="B120" s="6">
        <v>45536</v>
      </c>
      <c r="C120" s="6" t="s">
        <v>21</v>
      </c>
      <c r="D120" s="9">
        <v>4336.1310000000003</v>
      </c>
      <c r="E120" s="13">
        <v>6418</v>
      </c>
      <c r="F120" s="13">
        <v>3031</v>
      </c>
      <c r="G120" s="13">
        <v>428</v>
      </c>
      <c r="H120" s="13">
        <v>9877</v>
      </c>
      <c r="I120" s="7">
        <f t="shared" si="1"/>
        <v>14213.131000000001</v>
      </c>
    </row>
    <row r="121" spans="1:9" ht="15.75" x14ac:dyDescent="0.5">
      <c r="A121" s="1" t="s">
        <v>31</v>
      </c>
      <c r="B121" s="6">
        <v>45566</v>
      </c>
      <c r="C121" s="6" t="s">
        <v>10</v>
      </c>
      <c r="D121" s="9">
        <v>4017.759</v>
      </c>
      <c r="E121" s="13">
        <v>6392</v>
      </c>
      <c r="F121" s="13">
        <v>2713</v>
      </c>
      <c r="G121" s="13">
        <v>1912</v>
      </c>
      <c r="H121" s="13">
        <v>11017</v>
      </c>
      <c r="I121" s="7">
        <f t="shared" si="1"/>
        <v>15034.759</v>
      </c>
    </row>
    <row r="122" spans="1:9" ht="15.75" x14ac:dyDescent="0.5">
      <c r="A122" s="1" t="s">
        <v>31</v>
      </c>
      <c r="B122" s="6">
        <v>45597</v>
      </c>
      <c r="C122" s="6" t="s">
        <v>11</v>
      </c>
      <c r="D122" s="9">
        <v>4768.0050000000001</v>
      </c>
      <c r="E122" s="13">
        <v>4723</v>
      </c>
      <c r="F122" s="13">
        <v>2323</v>
      </c>
      <c r="G122" s="13">
        <v>2554</v>
      </c>
      <c r="H122" s="13">
        <v>9600</v>
      </c>
      <c r="I122" s="7">
        <f t="shared" si="1"/>
        <v>14368.005000000001</v>
      </c>
    </row>
    <row r="123" spans="1:9" ht="15.75" x14ac:dyDescent="0.5">
      <c r="A123" s="1" t="s">
        <v>31</v>
      </c>
      <c r="B123" s="6">
        <v>45627</v>
      </c>
      <c r="C123" s="6" t="s">
        <v>12</v>
      </c>
      <c r="D123" s="9">
        <v>5429.62</v>
      </c>
      <c r="E123" s="13">
        <v>4298</v>
      </c>
      <c r="F123" s="13">
        <v>2429</v>
      </c>
      <c r="G123" s="13">
        <v>2610</v>
      </c>
      <c r="H123" s="13">
        <v>9337</v>
      </c>
      <c r="I123" s="7">
        <f t="shared" si="1"/>
        <v>14766.619999999999</v>
      </c>
    </row>
    <row r="124" spans="1:9" ht="15.75" x14ac:dyDescent="0.5">
      <c r="A124" s="1" t="s">
        <v>31</v>
      </c>
      <c r="B124" s="6">
        <v>45658</v>
      </c>
      <c r="C124" s="6" t="s">
        <v>13</v>
      </c>
      <c r="D124" s="9">
        <v>6162.009</v>
      </c>
      <c r="E124" s="13">
        <v>3597</v>
      </c>
      <c r="F124" s="13">
        <v>2645</v>
      </c>
      <c r="G124" s="13">
        <v>2478</v>
      </c>
      <c r="H124" s="13">
        <v>8720</v>
      </c>
      <c r="I124" s="7">
        <f t="shared" si="1"/>
        <v>14882.009</v>
      </c>
    </row>
    <row r="125" spans="1:9" ht="15.75" x14ac:dyDescent="0.5">
      <c r="A125" s="1" t="s">
        <v>31</v>
      </c>
      <c r="B125" s="6">
        <v>45689</v>
      </c>
      <c r="C125" s="6" t="s">
        <v>14</v>
      </c>
      <c r="D125" s="9">
        <v>6032.0190000000002</v>
      </c>
      <c r="E125" s="13">
        <v>1439</v>
      </c>
      <c r="F125" s="13">
        <v>2471</v>
      </c>
      <c r="G125" s="13">
        <v>2170</v>
      </c>
      <c r="H125" s="13">
        <v>6080</v>
      </c>
      <c r="I125" s="7">
        <f t="shared" si="1"/>
        <v>12112.019</v>
      </c>
    </row>
    <row r="126" spans="1:9" ht="15.75" x14ac:dyDescent="0.5">
      <c r="A126" s="1" t="s">
        <v>31</v>
      </c>
      <c r="B126" s="6">
        <v>45717</v>
      </c>
      <c r="C126" s="6" t="s">
        <v>15</v>
      </c>
      <c r="D126" s="9">
        <v>7340.8519999999999</v>
      </c>
      <c r="E126" s="14">
        <v>871</v>
      </c>
      <c r="F126" s="14">
        <v>2999</v>
      </c>
      <c r="G126" s="14">
        <v>2390</v>
      </c>
      <c r="H126" s="14">
        <f t="shared" ref="H126:H137" si="2">SUM(E126:G126)</f>
        <v>6260</v>
      </c>
      <c r="I126" s="7">
        <f t="shared" si="1"/>
        <v>13600.851999999999</v>
      </c>
    </row>
    <row r="127" spans="1:9" ht="15.75" x14ac:dyDescent="0.5">
      <c r="A127" s="1" t="s">
        <v>31</v>
      </c>
      <c r="B127" s="6">
        <v>45748</v>
      </c>
      <c r="C127" s="6" t="s">
        <v>16</v>
      </c>
      <c r="D127" s="9">
        <v>7786.8890000000001</v>
      </c>
      <c r="E127" s="14">
        <v>177</v>
      </c>
      <c r="F127" s="14">
        <v>3707</v>
      </c>
      <c r="G127" s="14">
        <v>1567</v>
      </c>
      <c r="H127" s="14">
        <f t="shared" si="2"/>
        <v>5451</v>
      </c>
      <c r="I127" s="7">
        <f t="shared" si="1"/>
        <v>13237.888999999999</v>
      </c>
    </row>
    <row r="128" spans="1:9" ht="15.75" x14ac:dyDescent="0.5">
      <c r="A128" s="1" t="s">
        <v>31</v>
      </c>
      <c r="B128" s="6">
        <v>45778</v>
      </c>
      <c r="C128" s="6" t="s">
        <v>17</v>
      </c>
      <c r="D128" s="9">
        <v>7288.2209999999995</v>
      </c>
      <c r="E128" s="14">
        <v>37</v>
      </c>
      <c r="F128" s="14">
        <v>3192</v>
      </c>
      <c r="G128" s="14">
        <v>2020</v>
      </c>
      <c r="H128" s="14">
        <f t="shared" si="2"/>
        <v>5249</v>
      </c>
      <c r="I128" s="7">
        <f t="shared" si="1"/>
        <v>12537.221</v>
      </c>
    </row>
    <row r="129" spans="1:9" ht="15.75" x14ac:dyDescent="0.5">
      <c r="A129" s="1" t="s">
        <v>31</v>
      </c>
      <c r="B129" s="6">
        <v>45809</v>
      </c>
      <c r="C129" s="6" t="s">
        <v>18</v>
      </c>
      <c r="D129" s="9">
        <v>6746.9520000000002</v>
      </c>
      <c r="E129" s="14">
        <v>368</v>
      </c>
      <c r="F129" s="14">
        <v>3191</v>
      </c>
      <c r="G129" s="14">
        <v>1386</v>
      </c>
      <c r="H129" s="14">
        <f t="shared" si="2"/>
        <v>4945</v>
      </c>
      <c r="I129" s="7">
        <f t="shared" si="1"/>
        <v>11691.952000000001</v>
      </c>
    </row>
    <row r="130" spans="1:9" ht="15.75" x14ac:dyDescent="0.5">
      <c r="A130" s="1" t="s">
        <v>31</v>
      </c>
      <c r="B130" s="6">
        <v>45839</v>
      </c>
      <c r="C130" s="6" t="s">
        <v>19</v>
      </c>
      <c r="D130" s="9">
        <v>6224.4219999999996</v>
      </c>
      <c r="E130" s="14">
        <v>2432</v>
      </c>
      <c r="F130" s="14">
        <v>3935</v>
      </c>
      <c r="G130" s="14">
        <v>617</v>
      </c>
      <c r="H130" s="14">
        <f t="shared" si="2"/>
        <v>6984</v>
      </c>
      <c r="I130" s="7">
        <f t="shared" si="1"/>
        <v>13208.421999999999</v>
      </c>
    </row>
    <row r="131" spans="1:9" ht="15.75" x14ac:dyDescent="0.5">
      <c r="A131" s="1" t="s">
        <v>31</v>
      </c>
      <c r="B131" s="6">
        <v>45870</v>
      </c>
      <c r="C131" s="6" t="s">
        <v>20</v>
      </c>
      <c r="D131" s="14">
        <v>6397</v>
      </c>
      <c r="E131" s="14">
        <v>6867</v>
      </c>
      <c r="F131" s="14">
        <v>2546</v>
      </c>
      <c r="G131" s="14">
        <v>243</v>
      </c>
      <c r="H131" s="14">
        <f t="shared" si="2"/>
        <v>9656</v>
      </c>
      <c r="I131" s="7">
        <f t="shared" ref="I131:I138" si="3">D131+E131+F131+G131</f>
        <v>16053</v>
      </c>
    </row>
    <row r="132" spans="1:9" ht="15.75" x14ac:dyDescent="0.5">
      <c r="A132" s="1" t="s">
        <v>31</v>
      </c>
      <c r="B132" s="6">
        <v>45901</v>
      </c>
      <c r="C132" s="6" t="s">
        <v>21</v>
      </c>
      <c r="D132" s="14">
        <v>6978</v>
      </c>
      <c r="E132" s="14">
        <v>7646</v>
      </c>
      <c r="F132" s="14">
        <v>1865</v>
      </c>
      <c r="G132" s="14">
        <v>41</v>
      </c>
      <c r="H132" s="14">
        <f t="shared" si="2"/>
        <v>9552</v>
      </c>
      <c r="I132" s="7">
        <f t="shared" si="3"/>
        <v>16530</v>
      </c>
    </row>
    <row r="133" spans="1:9" ht="15.75" x14ac:dyDescent="0.5">
      <c r="A133" s="15" t="s">
        <v>32</v>
      </c>
      <c r="B133" s="6">
        <v>45931</v>
      </c>
      <c r="C133" s="6" t="s">
        <v>10</v>
      </c>
      <c r="D133" s="14">
        <v>6800</v>
      </c>
      <c r="E133" s="14">
        <v>6529</v>
      </c>
      <c r="F133" s="14">
        <v>1843</v>
      </c>
      <c r="G133" s="14">
        <v>941</v>
      </c>
      <c r="H133" s="14">
        <f t="shared" si="2"/>
        <v>9313</v>
      </c>
      <c r="I133" s="7">
        <f t="shared" si="3"/>
        <v>16113</v>
      </c>
    </row>
    <row r="134" spans="1:9" ht="15.75" x14ac:dyDescent="0.5">
      <c r="A134" s="15" t="s">
        <v>32</v>
      </c>
      <c r="B134" s="6">
        <v>45962</v>
      </c>
      <c r="C134" s="16" t="s">
        <v>11</v>
      </c>
      <c r="D134" s="14">
        <v>7305.4170000000004</v>
      </c>
      <c r="E134" s="17">
        <v>5350</v>
      </c>
      <c r="F134" s="17">
        <v>1584</v>
      </c>
      <c r="G134" s="14">
        <v>1838</v>
      </c>
      <c r="H134" s="17">
        <f t="shared" si="2"/>
        <v>8772</v>
      </c>
      <c r="I134" s="7">
        <f t="shared" si="3"/>
        <v>16077.417000000001</v>
      </c>
    </row>
    <row r="135" spans="1:9" ht="15.75" x14ac:dyDescent="0.5">
      <c r="A135" s="1" t="s">
        <v>32</v>
      </c>
      <c r="B135" s="6">
        <v>45992</v>
      </c>
      <c r="C135" s="16" t="s">
        <v>12</v>
      </c>
      <c r="D135" s="9">
        <v>7099</v>
      </c>
      <c r="E135" s="17">
        <v>6221</v>
      </c>
      <c r="F135" s="17">
        <v>1333</v>
      </c>
      <c r="G135" s="18">
        <v>2247</v>
      </c>
      <c r="H135" s="17">
        <f t="shared" si="2"/>
        <v>9801</v>
      </c>
      <c r="I135" s="19">
        <f t="shared" si="3"/>
        <v>16900</v>
      </c>
    </row>
    <row r="136" spans="1:9" ht="15.75" x14ac:dyDescent="0.5">
      <c r="A136" s="1" t="s">
        <v>32</v>
      </c>
      <c r="B136" s="6">
        <v>46023</v>
      </c>
      <c r="C136" s="16" t="s">
        <v>13</v>
      </c>
      <c r="D136" s="20">
        <v>6607.7</v>
      </c>
      <c r="E136" s="9">
        <v>4271</v>
      </c>
      <c r="F136" s="9">
        <v>1522</v>
      </c>
      <c r="G136" s="9">
        <v>2811</v>
      </c>
      <c r="H136" s="9">
        <f t="shared" si="2"/>
        <v>8604</v>
      </c>
      <c r="I136" s="21">
        <f t="shared" si="3"/>
        <v>15211.7</v>
      </c>
    </row>
    <row r="137" spans="1:9" ht="15.75" x14ac:dyDescent="0.5">
      <c r="A137" s="1" t="s">
        <v>32</v>
      </c>
      <c r="B137" s="6">
        <v>46054</v>
      </c>
      <c r="C137" s="16" t="s">
        <v>14</v>
      </c>
      <c r="D137" s="22">
        <v>6768.1450000000004</v>
      </c>
      <c r="E137" s="18">
        <v>1580</v>
      </c>
      <c r="F137" s="9">
        <v>1338</v>
      </c>
      <c r="G137" s="18">
        <v>2753.2649999999999</v>
      </c>
      <c r="H137" s="23">
        <f t="shared" si="2"/>
        <v>5671.2649999999994</v>
      </c>
      <c r="I137" s="24">
        <f>D137+E137+F137+G137</f>
        <v>12439.41</v>
      </c>
    </row>
    <row r="138" spans="1:9" ht="15.75" x14ac:dyDescent="0.5">
      <c r="A138" s="1" t="s">
        <v>32</v>
      </c>
      <c r="B138" s="6">
        <v>46082</v>
      </c>
      <c r="C138" s="16" t="s">
        <v>15</v>
      </c>
      <c r="D138" s="22"/>
      <c r="E138" s="9">
        <v>991</v>
      </c>
      <c r="F138" s="25">
        <v>4784</v>
      </c>
      <c r="G138" s="9">
        <v>2732</v>
      </c>
      <c r="H138" s="26">
        <f>SUM(E138:G138)</f>
        <v>8507</v>
      </c>
      <c r="I138" s="24">
        <f t="shared" si="3"/>
        <v>8507</v>
      </c>
    </row>
    <row r="139" spans="1:9" ht="15.75" x14ac:dyDescent="0.5">
      <c r="A139" s="1" t="s">
        <v>32</v>
      </c>
      <c r="B139" s="6">
        <v>46113</v>
      </c>
      <c r="C139" s="16" t="s">
        <v>16</v>
      </c>
      <c r="D139" s="22"/>
      <c r="E139" s="9"/>
      <c r="F139" s="9"/>
      <c r="G139" s="27"/>
      <c r="H139" s="28"/>
      <c r="I139" s="24"/>
    </row>
    <row r="140" spans="1:9" ht="15.75" x14ac:dyDescent="0.5">
      <c r="A140" s="1" t="s">
        <v>32</v>
      </c>
      <c r="B140" s="6">
        <v>46143</v>
      </c>
      <c r="C140" s="16" t="s">
        <v>17</v>
      </c>
      <c r="D140" s="22"/>
      <c r="E140" s="29"/>
      <c r="F140" s="29"/>
      <c r="G140" s="22"/>
      <c r="H140" s="22"/>
      <c r="I140" s="24"/>
    </row>
    <row r="141" spans="1:9" ht="15.75" x14ac:dyDescent="0.5">
      <c r="A141" s="1" t="s">
        <v>32</v>
      </c>
      <c r="B141" s="6">
        <v>46174</v>
      </c>
      <c r="C141" s="16" t="s">
        <v>18</v>
      </c>
      <c r="D141" s="22"/>
      <c r="E141" s="29"/>
      <c r="F141" s="29"/>
      <c r="G141" s="22"/>
      <c r="H141" s="28"/>
      <c r="I141" s="24"/>
    </row>
    <row r="142" spans="1:9" ht="15.75" x14ac:dyDescent="0.5">
      <c r="A142" s="1" t="s">
        <v>32</v>
      </c>
      <c r="B142" s="6">
        <v>46204</v>
      </c>
      <c r="C142" s="16" t="s">
        <v>19</v>
      </c>
      <c r="D142" s="22"/>
      <c r="E142" s="29"/>
      <c r="F142" s="29"/>
      <c r="G142" s="22"/>
      <c r="H142" s="22"/>
      <c r="I142" s="24"/>
    </row>
    <row r="143" spans="1:9" ht="15.75" x14ac:dyDescent="0.5">
      <c r="A143" s="1" t="s">
        <v>32</v>
      </c>
      <c r="B143" s="6">
        <v>46235</v>
      </c>
      <c r="C143" s="16" t="s">
        <v>20</v>
      </c>
      <c r="D143" s="22"/>
      <c r="E143" s="29"/>
      <c r="F143" s="29"/>
      <c r="G143" s="22"/>
      <c r="H143" s="28"/>
      <c r="I143" s="2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f7db2c8-69c4-412b-9d44-16b2d9ce1096">
      <Terms xmlns="http://schemas.microsoft.com/office/infopath/2007/PartnerControls"/>
    </lcf76f155ced4ddcb4097134ff3c332f>
    <TaxCatchAll xmlns="2ae6f4a5-fc03-40a6-a6be-1c00f8eb750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00F3C6901D84A48B91A9B4E5E69DA02" ma:contentTypeVersion="33" ma:contentTypeDescription="Create a new document." ma:contentTypeScope="" ma:versionID="6ce5aaaf5c71f332bad539ea18ca4307">
  <xsd:schema xmlns:xsd="http://www.w3.org/2001/XMLSchema" xmlns:xs="http://www.w3.org/2001/XMLSchema" xmlns:p="http://schemas.microsoft.com/office/2006/metadata/properties" xmlns:ns2="1f7db2c8-69c4-412b-9d44-16b2d9ce1096" xmlns:ns3="2ae6f4a5-fc03-40a6-a6be-1c00f8eb7500" targetNamespace="http://schemas.microsoft.com/office/2006/metadata/properties" ma:root="true" ma:fieldsID="17518e73f766de7285d2370906e601ed" ns2:_="" ns3:_="">
    <xsd:import namespace="1f7db2c8-69c4-412b-9d44-16b2d9ce1096"/>
    <xsd:import namespace="2ae6f4a5-fc03-40a6-a6be-1c00f8eb750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7db2c8-69c4-412b-9d44-16b2d9ce10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MediaServiceAutoTags" ma:internalName="MediaServiceAutoTags" ma:readOnly="true">
      <xsd:simpleType>
        <xsd:restriction base="dms:Text"/>
      </xsd:simpleType>
    </xsd:element>
    <xsd:element name="MediaServiceOCR" ma:index="11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9ee0b0-24da-427d-9ee5-df4606d176d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6f4a5-fc03-40a6-a6be-1c00f8eb750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70168fb6-03e7-4301-a1a4-001299ec3699}" ma:internalName="TaxCatchAll" ma:showField="CatchAllData" ma:web="2ae6f4a5-fc03-40a6-a6be-1c00f8eb750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5A3307-D43B-43BB-A585-E888C8EEC4B7}">
  <ds:schemaRefs>
    <ds:schemaRef ds:uri="http://schemas.microsoft.com/office/2006/metadata/properties"/>
    <ds:schemaRef ds:uri="http://schemas.microsoft.com/office/infopath/2007/PartnerControls"/>
    <ds:schemaRef ds:uri="1f7db2c8-69c4-412b-9d44-16b2d9ce1096"/>
    <ds:schemaRef ds:uri="2ae6f4a5-fc03-40a6-a6be-1c00f8eb7500"/>
  </ds:schemaRefs>
</ds:datastoreItem>
</file>

<file path=customXml/itemProps2.xml><?xml version="1.0" encoding="utf-8"?>
<ds:datastoreItem xmlns:ds="http://schemas.openxmlformats.org/officeDocument/2006/customXml" ds:itemID="{9FB39BE9-4E11-43E7-A2C6-BFBD52C59A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f7db2c8-69c4-412b-9d44-16b2d9ce1096"/>
    <ds:schemaRef ds:uri="2ae6f4a5-fc03-40a6-a6be-1c00f8eb75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23D0501-7188-4B90-8B44-FD38FC936B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Kolten Postin</dc:creator>
  <cp:lastModifiedBy>Kolten Postin</cp:lastModifiedBy>
  <dcterms:created xsi:type="dcterms:W3CDTF">2026-04-16T00:07:06Z</dcterms:created>
  <dcterms:modified xsi:type="dcterms:W3CDTF">2026-04-16T12:21:25Z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policyId">
    <vt:lpwstr/>
  </property>
  <property fmtid="{D5CDD505-2E9C-101B-9397-08002B2CF9AE}" pid="3" name="MediaServiceImageTags">
    <vt:lpwstr/>
  </property>
  <property fmtid="{D5CDD505-2E9C-101B-9397-08002B2CF9AE}" pid="4" name="ContentTypeId">
    <vt:lpwstr>0x010100400F3C6901D84A48B91A9B4E5E69DA02</vt:lpwstr>
  </property>
  <property fmtid="{D5CDD505-2E9C-101B-9397-08002B2CF9AE}" pid="5" name="ItemRetentionFormula">
    <vt:lpwstr/>
  </property>
</Properties>
</file>