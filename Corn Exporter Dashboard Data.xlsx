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psicom.sharepoint.com/sites/jsacore/Shared Documents/Research Analyst/Dashboards/Corn by Major Exports/"/>
    </mc:Choice>
  </mc:AlternateContent>
  <xr:revisionPtr revIDLastSave="37" documentId="8_{A7E760E1-8B0A-4518-BC31-E1FE9BCA3BE6}" xr6:coauthVersionLast="47" xr6:coauthVersionMax="47" xr10:uidLastSave="{CEA15425-DA0C-43C4-A742-8E36AE8DC71A}"/>
  <bookViews>
    <workbookView xWindow="-98" yWindow="-98" windowWidth="24196" windowHeight="14476" activeTab="3" xr2:uid="{2A8B819C-35FF-45E7-A267-117D499C3FAA}"/>
  </bookViews>
  <sheets>
    <sheet name="Corn" sheetId="1" r:id="rId1"/>
    <sheet name="Soybeans" sheetId="2" r:id="rId2"/>
    <sheet name="Meal" sheetId="3" r:id="rId3"/>
    <sheet name="Wheat" sheetId="4" r:id="rId4"/>
  </sheets>
  <definedNames>
    <definedName name="_xlnm._FilterDatabase" localSheetId="1" hidden="1">Soybeans!$A$1:$G$1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9" i="2" l="1"/>
  <c r="G139" i="2"/>
  <c r="H138" i="2"/>
  <c r="G138" i="2"/>
  <c r="H137" i="2"/>
  <c r="G137" i="2"/>
  <c r="H136" i="2"/>
  <c r="G136" i="2"/>
  <c r="H135" i="2"/>
  <c r="G135" i="2"/>
  <c r="H134" i="2"/>
  <c r="G134" i="2"/>
  <c r="H133" i="2"/>
  <c r="G133" i="2"/>
  <c r="H132" i="2"/>
  <c r="G132" i="2"/>
  <c r="H131" i="2"/>
  <c r="G131" i="2"/>
  <c r="H130" i="2"/>
  <c r="G130" i="2"/>
  <c r="H129" i="2"/>
  <c r="G129" i="2"/>
  <c r="H128" i="2"/>
  <c r="G128" i="2"/>
  <c r="H127" i="2"/>
  <c r="G127" i="2"/>
  <c r="H126" i="2"/>
  <c r="G126" i="2"/>
  <c r="H125" i="2"/>
  <c r="G125" i="2"/>
  <c r="H124" i="2"/>
  <c r="G124" i="2"/>
  <c r="H123" i="2"/>
  <c r="G123" i="2"/>
  <c r="H122" i="2"/>
  <c r="G122" i="2"/>
  <c r="H121" i="2"/>
  <c r="G121" i="2"/>
  <c r="H120" i="2"/>
  <c r="G120" i="2"/>
  <c r="H119" i="2"/>
  <c r="G119" i="2"/>
  <c r="H118" i="2"/>
  <c r="G118" i="2"/>
  <c r="H117" i="2"/>
  <c r="G117" i="2"/>
  <c r="H116" i="2"/>
  <c r="G116" i="2"/>
  <c r="H115" i="2"/>
  <c r="G115" i="2"/>
  <c r="H114" i="2"/>
  <c r="G114" i="2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I138" i="1" l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<sst xmlns="http://schemas.openxmlformats.org/spreadsheetml/2006/main" count="1418" uniqueCount="62">
  <si>
    <t>Market Year</t>
  </si>
  <si>
    <t>Date</t>
  </si>
  <si>
    <t>Month</t>
  </si>
  <si>
    <t>US</t>
  </si>
  <si>
    <t>Brazil</t>
  </si>
  <si>
    <t>Argentina</t>
  </si>
  <si>
    <t>Ukraine</t>
  </si>
  <si>
    <t>Total Non US</t>
  </si>
  <si>
    <t>Major Expoter</t>
  </si>
  <si>
    <t>2014/15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</si>
  <si>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</si>
  <si>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</si>
  <si>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</si>
  <si>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</si>
  <si>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</si>
  <si>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</si>
  <si>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</si>
  <si>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</si>
  <si>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</si>
  <si>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</si>
  <si>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</si>
  <si>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</si>
  <si>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</si>
  <si>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</si>
  <si>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</si>
  <si>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</si>
  <si>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</si>
  <si>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</si>
  <si>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</si>
  <si>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</si>
  <si>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</si>
  <si>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</si>
  <si>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</si>
  <si>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China Imports</t>
  </si>
  <si>
    <t>2013/14</t>
  </si>
  <si>
    <t>Martket Year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</si>
  <si>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</si>
  <si>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</si>
  <si>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</si>
  <si>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</si>
  <si>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</si>
  <si>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</si>
  <si>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</si>
  <si>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</si>
  <si>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</si>
  <si>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June</t>
  </si>
  <si>
    <t>April</t>
  </si>
  <si>
    <t>2012/13</t>
  </si>
  <si>
    <t>2011/12</t>
  </si>
  <si>
    <t>2010/11</t>
  </si>
  <si>
    <t>2009/10</t>
  </si>
  <si>
    <t>2008/09</t>
  </si>
  <si>
    <t>2007/08</t>
  </si>
  <si>
    <t>2006/07</t>
  </si>
  <si>
    <t>2005/06</t>
  </si>
  <si>
    <t>2004/05</t>
  </si>
  <si>
    <t>2003/04</t>
  </si>
  <si>
    <t>India</t>
  </si>
  <si>
    <t>Canada</t>
  </si>
  <si>
    <t>EU</t>
  </si>
  <si>
    <t>Australia</t>
  </si>
  <si>
    <t>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</si>
</sst>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2"/>
      <color theme="1"/>
      <name val="Calibri"/>
      <family val="2"/>
    </font>
    <font>
      <b/>
      <sz val="16"/>
      <color rgb="FF404040"/>
      <name val="Calibri"/>
      <family val="2"/>
    </font>
    <font>
      <b/>
      <sz val="14"/>
      <color rgb="FF404040"/>
      <name val="Calibri"/>
      <family val="2"/>
    </font>
    <font>
      <sz val="12"/>
      <color rgb="FF404040"/>
      <name val="Calibri"/>
      <family val="2"/>
    </font>
    <font>
      <sz val="12"/>
      <color theme="1"/>
      <name val="Aptos Narrow"/>
      <family val="2"/>
      <scheme val="minor"/>
    </font>
    <font>
      <i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62">
    <xf numFmtId="0" fontId="0" fillId="0" borderId="0" xfId="0"/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right"/>
    </xf>
    <xf numFmtId="3" fontId="5" fillId="0" borderId="2" xfId="0" applyNumberFormat="1" applyFont="1" applyBorder="1" applyAlignment="1">
      <alignment horizontal="center" vertical="top" wrapText="1"/>
    </xf>
    <xf numFmtId="3" fontId="6" fillId="0" borderId="2" xfId="0" applyNumberFormat="1" applyFont="1" applyBorder="1" applyAlignment="1">
      <alignment horizontal="center" vertical="top" wrapText="1"/>
    </xf>
    <xf numFmtId="3" fontId="5" fillId="0" borderId="3" xfId="0" applyNumberFormat="1" applyFont="1" applyBorder="1" applyAlignment="1">
      <alignment horizontal="center" vertical="top" wrapText="1"/>
    </xf>
    <xf numFmtId="17" fontId="4" fillId="0" borderId="2" xfId="0" applyNumberFormat="1" applyFont="1" applyBorder="1" applyAlignment="1">
      <alignment horizontal="right"/>
    </xf>
    <xf numFmtId="3" fontId="0" fillId="0" borderId="2" xfId="0" applyNumberFormat="1" applyBorder="1"/>
    <xf numFmtId="3" fontId="7" fillId="0" borderId="2" xfId="0" applyNumberFormat="1" applyFont="1" applyBorder="1" applyAlignment="1">
      <alignment horizontal="right" vertical="top" wrapText="1"/>
    </xf>
    <xf numFmtId="164" fontId="0" fillId="0" borderId="2" xfId="1" applyNumberFormat="1" applyFont="1" applyBorder="1"/>
    <xf numFmtId="164" fontId="7" fillId="0" borderId="2" xfId="1" applyNumberFormat="1" applyFont="1" applyBorder="1" applyAlignment="1">
      <alignment horizontal="right" vertical="top" wrapText="1"/>
    </xf>
    <xf numFmtId="164" fontId="4" fillId="0" borderId="4" xfId="1" applyNumberFormat="1" applyFont="1" applyBorder="1" applyAlignment="1">
      <alignment horizontal="right" wrapText="1"/>
    </xf>
    <xf numFmtId="164" fontId="4" fillId="0" borderId="4" xfId="1" applyNumberFormat="1" applyFont="1" applyBorder="1" applyAlignment="1">
      <alignment horizontal="right"/>
    </xf>
    <xf numFmtId="164" fontId="4" fillId="0" borderId="2" xfId="1" applyNumberFormat="1" applyFont="1" applyBorder="1" applyAlignment="1">
      <alignment horizontal="right" wrapText="1"/>
    </xf>
    <xf numFmtId="164" fontId="4" fillId="0" borderId="2" xfId="1" applyNumberFormat="1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17" fontId="4" fillId="0" borderId="5" xfId="0" applyNumberFormat="1" applyFont="1" applyBorder="1" applyAlignment="1">
      <alignment horizontal="right"/>
    </xf>
    <xf numFmtId="164" fontId="4" fillId="0" borderId="6" xfId="1" applyNumberFormat="1" applyFont="1" applyBorder="1" applyAlignment="1">
      <alignment horizontal="right"/>
    </xf>
    <xf numFmtId="164" fontId="0" fillId="0" borderId="0" xfId="1" applyNumberFormat="1" applyFont="1"/>
    <xf numFmtId="164" fontId="0" fillId="0" borderId="2" xfId="1" applyNumberFormat="1" applyFont="1" applyBorder="1" applyAlignment="1">
      <alignment horizontal="right"/>
    </xf>
    <xf numFmtId="164" fontId="3" fillId="3" borderId="7" xfId="3" applyNumberFormat="1" applyBorder="1"/>
    <xf numFmtId="3" fontId="3" fillId="3" borderId="8" xfId="3" applyNumberFormat="1" applyBorder="1"/>
    <xf numFmtId="164" fontId="3" fillId="3" borderId="1" xfId="3" applyNumberFormat="1"/>
    <xf numFmtId="164" fontId="3" fillId="3" borderId="9" xfId="3" applyNumberFormat="1" applyBorder="1" applyAlignment="1">
      <alignment horizontal="right"/>
    </xf>
    <xf numFmtId="3" fontId="3" fillId="3" borderId="1" xfId="3" applyNumberFormat="1"/>
    <xf numFmtId="164" fontId="2" fillId="2" borderId="2" xfId="2" applyNumberFormat="1" applyBorder="1"/>
    <xf numFmtId="164" fontId="3" fillId="3" borderId="10" xfId="3" applyNumberFormat="1" applyBorder="1"/>
    <xf numFmtId="164" fontId="3" fillId="3" borderId="9" xfId="3" applyNumberFormat="1" applyBorder="1"/>
    <xf numFmtId="164" fontId="3" fillId="3" borderId="1" xfId="3" applyNumberFormat="1" applyAlignment="1">
      <alignment horizontal="right"/>
    </xf>
    <xf numFmtId="0" fontId="0" fillId="0" borderId="2" xfId="0" applyBorder="1"/>
    <xf numFmtId="0" fontId="8" fillId="0" borderId="2" xfId="4" applyBorder="1" applyAlignment="1">
      <alignment horizontal="center"/>
    </xf>
    <xf numFmtId="0" fontId="4" fillId="0" borderId="2" xfId="4" applyFont="1" applyBorder="1" applyAlignment="1">
      <alignment horizontal="right"/>
    </xf>
    <xf numFmtId="3" fontId="5" fillId="0" borderId="2" xfId="4" applyNumberFormat="1" applyFont="1" applyBorder="1" applyAlignment="1">
      <alignment horizontal="center" vertical="top" wrapText="1"/>
    </xf>
    <xf numFmtId="3" fontId="6" fillId="0" borderId="2" xfId="4" applyNumberFormat="1" applyFont="1" applyBorder="1" applyAlignment="1">
      <alignment horizontal="center" vertical="top" wrapText="1"/>
    </xf>
    <xf numFmtId="3" fontId="5" fillId="0" borderId="3" xfId="4" applyNumberFormat="1" applyFont="1" applyBorder="1" applyAlignment="1">
      <alignment horizontal="center" vertical="top" wrapText="1"/>
    </xf>
    <xf numFmtId="3" fontId="5" fillId="0" borderId="0" xfId="4" applyNumberFormat="1" applyFont="1" applyAlignment="1">
      <alignment horizontal="center" vertical="top" wrapText="1"/>
    </xf>
    <xf numFmtId="0" fontId="8" fillId="0" borderId="0" xfId="4"/>
    <xf numFmtId="17" fontId="4" fillId="0" borderId="2" xfId="4" applyNumberFormat="1" applyFont="1" applyBorder="1" applyAlignment="1">
      <alignment horizontal="right"/>
    </xf>
    <xf numFmtId="3" fontId="8" fillId="0" borderId="2" xfId="4" applyNumberFormat="1" applyBorder="1"/>
    <xf numFmtId="164" fontId="0" fillId="0" borderId="2" xfId="5" applyNumberFormat="1" applyFont="1" applyBorder="1"/>
    <xf numFmtId="3" fontId="7" fillId="0" borderId="2" xfId="4" applyNumberFormat="1" applyFont="1" applyBorder="1" applyAlignment="1">
      <alignment horizontal="right" vertical="top" wrapText="1"/>
    </xf>
    <xf numFmtId="3" fontId="8" fillId="0" borderId="0" xfId="4" applyNumberFormat="1"/>
    <xf numFmtId="0" fontId="8" fillId="0" borderId="2" xfId="4" applyBorder="1" applyAlignment="1">
      <alignment horizontal="center" vertical="center"/>
    </xf>
    <xf numFmtId="17" fontId="4" fillId="0" borderId="2" xfId="4" applyNumberFormat="1" applyFont="1" applyBorder="1" applyAlignment="1">
      <alignment horizontal="right" vertical="center"/>
    </xf>
    <xf numFmtId="3" fontId="8" fillId="0" borderId="2" xfId="4" applyNumberFormat="1" applyBorder="1" applyAlignment="1">
      <alignment vertical="center"/>
    </xf>
    <xf numFmtId="3" fontId="7" fillId="0" borderId="2" xfId="4" applyNumberFormat="1" applyFont="1" applyBorder="1" applyAlignment="1">
      <alignment horizontal="right" vertical="center" wrapText="1"/>
    </xf>
    <xf numFmtId="3" fontId="8" fillId="0" borderId="0" xfId="4" applyNumberFormat="1" applyAlignment="1">
      <alignment vertical="center"/>
    </xf>
    <xf numFmtId="3" fontId="7" fillId="0" borderId="4" xfId="4" applyNumberFormat="1" applyFont="1" applyBorder="1" applyAlignment="1">
      <alignment horizontal="right" vertical="top" wrapText="1"/>
    </xf>
    <xf numFmtId="164" fontId="7" fillId="0" borderId="4" xfId="5" applyNumberFormat="1" applyFont="1" applyBorder="1" applyAlignment="1">
      <alignment horizontal="right" vertical="top" wrapText="1"/>
    </xf>
    <xf numFmtId="164" fontId="4" fillId="0" borderId="4" xfId="5" applyNumberFormat="1" applyFont="1" applyBorder="1" applyAlignment="1">
      <alignment horizontal="right" wrapText="1"/>
    </xf>
    <xf numFmtId="164" fontId="4" fillId="0" borderId="4" xfId="5" applyNumberFormat="1" applyFont="1" applyBorder="1" applyAlignment="1">
      <alignment horizontal="right"/>
    </xf>
    <xf numFmtId="164" fontId="4" fillId="0" borderId="2" xfId="5" applyNumberFormat="1" applyFont="1" applyBorder="1" applyAlignment="1">
      <alignment horizontal="right"/>
    </xf>
    <xf numFmtId="0" fontId="4" fillId="0" borderId="2" xfId="4" applyFont="1" applyBorder="1" applyAlignment="1">
      <alignment horizontal="center"/>
    </xf>
    <xf numFmtId="164" fontId="4" fillId="0" borderId="6" xfId="5" applyNumberFormat="1" applyFont="1" applyBorder="1" applyAlignment="1">
      <alignment horizontal="right"/>
    </xf>
    <xf numFmtId="164" fontId="4" fillId="0" borderId="11" xfId="5" applyNumberFormat="1" applyFont="1" applyBorder="1" applyAlignment="1">
      <alignment horizontal="right"/>
    </xf>
    <xf numFmtId="17" fontId="4" fillId="0" borderId="5" xfId="4" applyNumberFormat="1" applyFont="1" applyBorder="1" applyAlignment="1">
      <alignment horizontal="right"/>
    </xf>
    <xf numFmtId="164" fontId="9" fillId="0" borderId="2" xfId="5" applyNumberFormat="1" applyFont="1" applyBorder="1"/>
    <xf numFmtId="0" fontId="8" fillId="0" borderId="2" xfId="4" applyBorder="1"/>
    <xf numFmtId="17" fontId="8" fillId="0" borderId="2" xfId="4" applyNumberFormat="1" applyBorder="1"/>
    <xf numFmtId="1" fontId="0" fillId="0" borderId="0" xfId="0" applyNumberFormat="1"/>
    <xf numFmtId="17" fontId="0" fillId="0" borderId="2" xfId="0" applyNumberFormat="1" applyBorder="1"/>
    <xf numFmtId="1" fontId="0" fillId="0" borderId="2" xfId="0" applyNumberFormat="1" applyBorder="1"/>
  </cellXfs>
  <cellStyles count="7">
    <cellStyle name="Calculation" xfId="3" builtinId="22"/>
    <cellStyle name="Comma" xfId="1" builtinId="3"/>
    <cellStyle name="Comma 3" xfId="5" xr:uid="{24EAE314-C4BC-4801-AA7F-EC0267E79988}"/>
    <cellStyle name="Neutral" xfId="2" builtinId="28"/>
    <cellStyle name="Normal" xfId="0" builtinId="0"/>
    <cellStyle name="Normal 3" xfId="4" xr:uid="{16ECE651-C18B-4FBE-AEDA-E2FA27D96A7E}"/>
    <cellStyle name="Percent 3" xfId="6" xr:uid="{B160431B-1844-4717-A10B-B2BDC1FA39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6E87-5AA1-4EB6-B35E-F89BE8CD2C2E}">
  <dimension ref="A1:I143"/>
  <sheetViews>
    <sheetView workbookViewId="0">
      <selection activeCell="K23" sqref="K23"/>
    </sheetView>
  </sheetViews>
  <sheetFormatPr defaultRowHeight="14.25" x14ac:dyDescent="0.45"/>
  <cols>
    <col min="6" max="6" width="14.796875" customWidth="1"/>
    <col min="7" max="7" width="13.3984375" customWidth="1"/>
    <col min="9" max="9" width="12.1328125" customWidth="1"/>
  </cols>
  <sheetData>
    <row r="1" spans="1:9" ht="42" x14ac:dyDescent="0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</row>
    <row r="2" spans="1:9" ht="15.75" x14ac:dyDescent="0.5">
      <c r="A2" s="1" t="s">
        <v>9</v>
      </c>
      <c r="B2" s="6">
        <v>41913</v>
      </c>
      <c r="C2" s="6" t="s">
        <v>10</v>
      </c>
      <c r="D2" s="7">
        <v>3807.1460000000002</v>
      </c>
      <c r="E2" s="8">
        <v>3178</v>
      </c>
      <c r="F2" s="8">
        <v>1818</v>
      </c>
      <c r="G2" s="8">
        <v>1275</v>
      </c>
      <c r="H2" s="8">
        <v>6271</v>
      </c>
      <c r="I2" s="7">
        <f>D2+E2+F2+G2</f>
        <v>10078.146000000001</v>
      </c>
    </row>
    <row r="3" spans="1:9" ht="15.75" x14ac:dyDescent="0.5">
      <c r="A3" s="1" t="s">
        <v>9</v>
      </c>
      <c r="B3" s="6">
        <v>41944</v>
      </c>
      <c r="C3" s="6" t="s">
        <v>11</v>
      </c>
      <c r="D3" s="7">
        <v>2413.3690000000001</v>
      </c>
      <c r="E3" s="8">
        <v>2979</v>
      </c>
      <c r="F3" s="8">
        <v>1050</v>
      </c>
      <c r="G3" s="8">
        <v>2223</v>
      </c>
      <c r="H3" s="8">
        <v>6252</v>
      </c>
      <c r="I3" s="7">
        <f t="shared" ref="I3:I66" si="0">D3+E3+F3+G3</f>
        <v>8665.3690000000006</v>
      </c>
    </row>
    <row r="4" spans="1:9" ht="15.75" x14ac:dyDescent="0.5">
      <c r="A4" s="1" t="s">
        <v>9</v>
      </c>
      <c r="B4" s="6">
        <v>41974</v>
      </c>
      <c r="C4" s="6" t="s">
        <v>12</v>
      </c>
      <c r="D4" s="7">
        <v>2990.2109999999998</v>
      </c>
      <c r="E4" s="8">
        <v>3405</v>
      </c>
      <c r="F4" s="8">
        <v>853</v>
      </c>
      <c r="G4" s="8">
        <v>2684</v>
      </c>
      <c r="H4" s="8">
        <v>6942</v>
      </c>
      <c r="I4" s="7">
        <f t="shared" si="0"/>
        <v>9932.2109999999993</v>
      </c>
    </row>
    <row r="5" spans="1:9" ht="15.75" x14ac:dyDescent="0.5">
      <c r="A5" s="1" t="s">
        <v>9</v>
      </c>
      <c r="B5" s="6">
        <v>42005</v>
      </c>
      <c r="C5" s="6" t="s">
        <v>13</v>
      </c>
      <c r="D5" s="7">
        <v>3221.6619999999998</v>
      </c>
      <c r="E5" s="8">
        <v>3195</v>
      </c>
      <c r="F5" s="8">
        <v>866</v>
      </c>
      <c r="G5" s="8">
        <v>1895</v>
      </c>
      <c r="H5" s="8">
        <v>5956</v>
      </c>
      <c r="I5" s="7">
        <f t="shared" si="0"/>
        <v>9177.6620000000003</v>
      </c>
    </row>
    <row r="6" spans="1:9" ht="15.75" x14ac:dyDescent="0.5">
      <c r="A6" s="1" t="s">
        <v>9</v>
      </c>
      <c r="B6" s="6">
        <v>42036</v>
      </c>
      <c r="C6" s="6" t="s">
        <v>14</v>
      </c>
      <c r="D6" s="7">
        <v>3914.5129999999999</v>
      </c>
      <c r="E6" s="8">
        <v>1105</v>
      </c>
      <c r="F6" s="8">
        <v>706</v>
      </c>
      <c r="G6" s="8">
        <v>2215</v>
      </c>
      <c r="H6" s="8">
        <v>4026</v>
      </c>
      <c r="I6" s="7">
        <f t="shared" si="0"/>
        <v>7940.5129999999999</v>
      </c>
    </row>
    <row r="7" spans="1:9" ht="15.75" x14ac:dyDescent="0.5">
      <c r="A7" s="1" t="s">
        <v>9</v>
      </c>
      <c r="B7" s="6">
        <v>42064</v>
      </c>
      <c r="C7" s="6" t="s">
        <v>15</v>
      </c>
      <c r="D7" s="7">
        <v>3981.8139999999999</v>
      </c>
      <c r="E7" s="8">
        <v>675</v>
      </c>
      <c r="F7" s="8">
        <v>1879</v>
      </c>
      <c r="G7" s="8">
        <v>1834</v>
      </c>
      <c r="H7" s="8">
        <v>4388</v>
      </c>
      <c r="I7" s="7">
        <f t="shared" si="0"/>
        <v>8369.8140000000003</v>
      </c>
    </row>
    <row r="8" spans="1:9" ht="15.75" x14ac:dyDescent="0.5">
      <c r="A8" s="1" t="s">
        <v>9</v>
      </c>
      <c r="B8" s="6">
        <v>42095</v>
      </c>
      <c r="C8" s="6" t="s">
        <v>16</v>
      </c>
      <c r="D8" s="7">
        <v>4870.8069999999998</v>
      </c>
      <c r="E8" s="8">
        <v>159</v>
      </c>
      <c r="F8" s="8">
        <v>2430</v>
      </c>
      <c r="G8" s="8">
        <v>2018</v>
      </c>
      <c r="H8" s="8">
        <v>4607</v>
      </c>
      <c r="I8" s="7">
        <f t="shared" si="0"/>
        <v>9477.8070000000007</v>
      </c>
    </row>
    <row r="9" spans="1:9" ht="15.75" x14ac:dyDescent="0.5">
      <c r="A9" s="1" t="s">
        <v>9</v>
      </c>
      <c r="B9" s="6">
        <v>42125</v>
      </c>
      <c r="C9" s="6" t="s">
        <v>17</v>
      </c>
      <c r="D9" s="7">
        <v>4843.3119999999999</v>
      </c>
      <c r="E9" s="8">
        <v>39</v>
      </c>
      <c r="F9" s="8">
        <v>1689</v>
      </c>
      <c r="G9" s="8">
        <v>2077</v>
      </c>
      <c r="H9" s="8">
        <v>3805</v>
      </c>
      <c r="I9" s="7">
        <f t="shared" si="0"/>
        <v>8648.3119999999999</v>
      </c>
    </row>
    <row r="10" spans="1:9" ht="15.75" x14ac:dyDescent="0.5">
      <c r="A10" s="1" t="s">
        <v>9</v>
      </c>
      <c r="B10" s="6">
        <v>42156</v>
      </c>
      <c r="C10" s="6" t="s">
        <v>18</v>
      </c>
      <c r="D10" s="7">
        <v>4244.8209999999999</v>
      </c>
      <c r="E10" s="8">
        <v>137</v>
      </c>
      <c r="F10" s="8">
        <v>2252</v>
      </c>
      <c r="G10" s="8">
        <v>1977</v>
      </c>
      <c r="H10" s="8">
        <v>4366</v>
      </c>
      <c r="I10" s="7">
        <f t="shared" si="0"/>
        <v>8610.8209999999999</v>
      </c>
    </row>
    <row r="11" spans="1:9" ht="15.75" x14ac:dyDescent="0.5">
      <c r="A11" s="1" t="s">
        <v>9</v>
      </c>
      <c r="B11" s="6">
        <v>42186</v>
      </c>
      <c r="C11" s="6" t="s">
        <v>19</v>
      </c>
      <c r="D11" s="7">
        <v>5082.9369999999999</v>
      </c>
      <c r="E11" s="8">
        <v>1280</v>
      </c>
      <c r="F11" s="8">
        <v>1972</v>
      </c>
      <c r="G11" s="8">
        <v>999</v>
      </c>
      <c r="H11" s="8">
        <v>4251</v>
      </c>
      <c r="I11" s="7">
        <f t="shared" si="0"/>
        <v>9333.9369999999999</v>
      </c>
    </row>
    <row r="12" spans="1:9" ht="15.75" x14ac:dyDescent="0.5">
      <c r="A12" s="1" t="s">
        <v>9</v>
      </c>
      <c r="B12" s="6">
        <v>42217</v>
      </c>
      <c r="C12" s="6" t="s">
        <v>20</v>
      </c>
      <c r="D12" s="7">
        <v>4022.37</v>
      </c>
      <c r="E12" s="8">
        <v>2284</v>
      </c>
      <c r="F12" s="8">
        <v>1511</v>
      </c>
      <c r="G12" s="8">
        <v>309</v>
      </c>
      <c r="H12" s="8">
        <v>4104</v>
      </c>
      <c r="I12" s="7">
        <f t="shared" si="0"/>
        <v>8126.37</v>
      </c>
    </row>
    <row r="13" spans="1:9" ht="15.75" x14ac:dyDescent="0.5">
      <c r="A13" s="1" t="s">
        <v>9</v>
      </c>
      <c r="B13" s="6">
        <v>42248</v>
      </c>
      <c r="C13" s="6" t="s">
        <v>21</v>
      </c>
      <c r="D13" s="7">
        <v>3364.91</v>
      </c>
      <c r="E13" s="8">
        <v>3455</v>
      </c>
      <c r="F13" s="8">
        <v>1407</v>
      </c>
      <c r="G13" s="8">
        <v>150</v>
      </c>
      <c r="H13" s="8">
        <v>5012</v>
      </c>
      <c r="I13" s="7">
        <f t="shared" si="0"/>
        <v>8376.91</v>
      </c>
    </row>
    <row r="14" spans="1:9" ht="15.75" x14ac:dyDescent="0.5">
      <c r="A14" s="1" t="s">
        <v>22</v>
      </c>
      <c r="B14" s="6">
        <v>42278</v>
      </c>
      <c r="C14" s="6" t="s">
        <v>10</v>
      </c>
      <c r="D14" s="7">
        <v>2365.5479999999998</v>
      </c>
      <c r="E14" s="8">
        <v>5548</v>
      </c>
      <c r="F14" s="8">
        <v>1090</v>
      </c>
      <c r="G14" s="8">
        <v>1317</v>
      </c>
      <c r="H14" s="8">
        <v>7955</v>
      </c>
      <c r="I14" s="7">
        <f t="shared" si="0"/>
        <v>10320.547999999999</v>
      </c>
    </row>
    <row r="15" spans="1:9" ht="15.75" x14ac:dyDescent="0.5">
      <c r="A15" s="1" t="s">
        <v>22</v>
      </c>
      <c r="B15" s="6">
        <v>42309</v>
      </c>
      <c r="C15" s="6" t="s">
        <v>11</v>
      </c>
      <c r="D15" s="7">
        <v>1906.383</v>
      </c>
      <c r="E15" s="8">
        <v>4757</v>
      </c>
      <c r="F15" s="8">
        <v>503</v>
      </c>
      <c r="G15" s="8">
        <v>1878</v>
      </c>
      <c r="H15" s="8">
        <v>7138</v>
      </c>
      <c r="I15" s="7">
        <f t="shared" si="0"/>
        <v>9044.3829999999998</v>
      </c>
    </row>
    <row r="16" spans="1:9" ht="15.75" x14ac:dyDescent="0.5">
      <c r="A16" s="1" t="s">
        <v>22</v>
      </c>
      <c r="B16" s="6">
        <v>42339</v>
      </c>
      <c r="C16" s="6" t="s">
        <v>12</v>
      </c>
      <c r="D16" s="7">
        <v>2667.6370000000002</v>
      </c>
      <c r="E16" s="8">
        <v>6268</v>
      </c>
      <c r="F16" s="8">
        <v>417</v>
      </c>
      <c r="G16" s="8">
        <v>2375</v>
      </c>
      <c r="H16" s="8">
        <v>9060</v>
      </c>
      <c r="I16" s="7">
        <f t="shared" si="0"/>
        <v>11727.637000000001</v>
      </c>
    </row>
    <row r="17" spans="1:9" ht="15.75" x14ac:dyDescent="0.5">
      <c r="A17" s="1" t="s">
        <v>22</v>
      </c>
      <c r="B17" s="6">
        <v>42370</v>
      </c>
      <c r="C17" s="6" t="s">
        <v>13</v>
      </c>
      <c r="D17" s="7">
        <v>2659.8809999999999</v>
      </c>
      <c r="E17" s="8">
        <v>4437</v>
      </c>
      <c r="F17" s="8">
        <v>1194</v>
      </c>
      <c r="G17" s="8">
        <v>1675</v>
      </c>
      <c r="H17" s="8">
        <v>7306</v>
      </c>
      <c r="I17" s="7">
        <f t="shared" si="0"/>
        <v>9965.8809999999994</v>
      </c>
    </row>
    <row r="18" spans="1:9" ht="15.75" x14ac:dyDescent="0.5">
      <c r="A18" s="1" t="s">
        <v>22</v>
      </c>
      <c r="B18" s="6">
        <v>42401</v>
      </c>
      <c r="C18" s="6" t="s">
        <v>14</v>
      </c>
      <c r="D18" s="7">
        <v>3316.8910000000001</v>
      </c>
      <c r="E18" s="8">
        <v>5374</v>
      </c>
      <c r="F18" s="8">
        <v>2605</v>
      </c>
      <c r="G18" s="8">
        <v>2370</v>
      </c>
      <c r="H18" s="8">
        <v>10349</v>
      </c>
      <c r="I18" s="7">
        <f t="shared" si="0"/>
        <v>13665.891</v>
      </c>
    </row>
    <row r="19" spans="1:9" ht="15.75" x14ac:dyDescent="0.5">
      <c r="A19" s="1" t="s">
        <v>22</v>
      </c>
      <c r="B19" s="6">
        <v>42430</v>
      </c>
      <c r="C19" s="6" t="s">
        <v>15</v>
      </c>
      <c r="D19" s="7">
        <v>4454.9399999999996</v>
      </c>
      <c r="E19" s="8">
        <v>2024</v>
      </c>
      <c r="F19" s="8">
        <v>2789</v>
      </c>
      <c r="G19" s="8">
        <v>2366</v>
      </c>
      <c r="H19" s="8">
        <v>7179</v>
      </c>
      <c r="I19" s="7">
        <f t="shared" si="0"/>
        <v>11633.939999999999</v>
      </c>
    </row>
    <row r="20" spans="1:9" ht="15.75" x14ac:dyDescent="0.5">
      <c r="A20" s="1" t="s">
        <v>22</v>
      </c>
      <c r="B20" s="6">
        <v>42461</v>
      </c>
      <c r="C20" s="6" t="s">
        <v>16</v>
      </c>
      <c r="D20" s="7">
        <v>5010.366</v>
      </c>
      <c r="E20" s="8">
        <v>368</v>
      </c>
      <c r="F20" s="8">
        <v>1972</v>
      </c>
      <c r="G20" s="8">
        <v>2041</v>
      </c>
      <c r="H20" s="8">
        <v>4381</v>
      </c>
      <c r="I20" s="7">
        <f t="shared" si="0"/>
        <v>9391.366</v>
      </c>
    </row>
    <row r="21" spans="1:9" ht="15.75" x14ac:dyDescent="0.5">
      <c r="A21" s="1" t="s">
        <v>22</v>
      </c>
      <c r="B21" s="6">
        <v>42491</v>
      </c>
      <c r="C21" s="6" t="s">
        <v>17</v>
      </c>
      <c r="D21" s="7">
        <v>4804.6180000000004</v>
      </c>
      <c r="E21" s="8">
        <v>27</v>
      </c>
      <c r="F21" s="8">
        <v>1601</v>
      </c>
      <c r="G21" s="8">
        <v>1002</v>
      </c>
      <c r="H21" s="8">
        <v>2630</v>
      </c>
      <c r="I21" s="7">
        <f t="shared" si="0"/>
        <v>7434.6180000000004</v>
      </c>
    </row>
    <row r="22" spans="1:9" ht="15.75" x14ac:dyDescent="0.5">
      <c r="A22" s="1" t="s">
        <v>22</v>
      </c>
      <c r="B22" s="6">
        <v>42522</v>
      </c>
      <c r="C22" s="6" t="s">
        <v>18</v>
      </c>
      <c r="D22" s="7">
        <v>6075.915</v>
      </c>
      <c r="E22" s="8">
        <v>19</v>
      </c>
      <c r="F22" s="8">
        <v>1514</v>
      </c>
      <c r="G22" s="8">
        <v>920</v>
      </c>
      <c r="H22" s="8">
        <v>2453</v>
      </c>
      <c r="I22" s="7">
        <f t="shared" si="0"/>
        <v>8528.9150000000009</v>
      </c>
    </row>
    <row r="23" spans="1:9" ht="15.75" x14ac:dyDescent="0.5">
      <c r="A23" s="1" t="s">
        <v>22</v>
      </c>
      <c r="B23" s="6">
        <v>42552</v>
      </c>
      <c r="C23" s="6" t="s">
        <v>19</v>
      </c>
      <c r="D23" s="7">
        <v>5759.3519999999999</v>
      </c>
      <c r="E23" s="8">
        <v>1046</v>
      </c>
      <c r="F23" s="8">
        <v>2052</v>
      </c>
      <c r="G23" s="8">
        <v>439</v>
      </c>
      <c r="H23" s="8">
        <v>3537</v>
      </c>
      <c r="I23" s="7">
        <f t="shared" si="0"/>
        <v>9296.351999999999</v>
      </c>
    </row>
    <row r="24" spans="1:9" ht="15.75" x14ac:dyDescent="0.5">
      <c r="A24" s="1" t="s">
        <v>22</v>
      </c>
      <c r="B24" s="6">
        <v>42583</v>
      </c>
      <c r="C24" s="6" t="s">
        <v>20</v>
      </c>
      <c r="D24" s="7">
        <v>5776.1390000000001</v>
      </c>
      <c r="E24" s="8">
        <v>2565</v>
      </c>
      <c r="F24" s="8">
        <v>4105</v>
      </c>
      <c r="G24" s="8">
        <v>136</v>
      </c>
      <c r="H24" s="8">
        <v>6806</v>
      </c>
      <c r="I24" s="7">
        <f t="shared" si="0"/>
        <v>12582.138999999999</v>
      </c>
    </row>
    <row r="25" spans="1:9" ht="15.75" x14ac:dyDescent="0.5">
      <c r="A25" s="1" t="s">
        <v>22</v>
      </c>
      <c r="B25" s="6">
        <v>42614</v>
      </c>
      <c r="C25" s="6" t="s">
        <v>21</v>
      </c>
      <c r="D25" s="7">
        <v>6191.7749999999996</v>
      </c>
      <c r="E25" s="8">
        <v>2913</v>
      </c>
      <c r="F25" s="8">
        <v>1823</v>
      </c>
      <c r="G25" s="8">
        <v>68</v>
      </c>
      <c r="H25" s="8">
        <v>4804</v>
      </c>
      <c r="I25" s="7">
        <f t="shared" si="0"/>
        <v>10995.775</v>
      </c>
    </row>
    <row r="26" spans="1:9" ht="15.75" x14ac:dyDescent="0.5">
      <c r="A26" s="1" t="s">
        <v>23</v>
      </c>
      <c r="B26" s="6">
        <v>42644</v>
      </c>
      <c r="C26" s="6" t="s">
        <v>10</v>
      </c>
      <c r="D26" s="7">
        <v>3659.66</v>
      </c>
      <c r="E26" s="8">
        <v>1102</v>
      </c>
      <c r="F26" s="8">
        <v>2040</v>
      </c>
      <c r="G26" s="8">
        <v>1355</v>
      </c>
      <c r="H26" s="8">
        <v>4497</v>
      </c>
      <c r="I26" s="7">
        <f t="shared" si="0"/>
        <v>8156.66</v>
      </c>
    </row>
    <row r="27" spans="1:9" ht="15.75" x14ac:dyDescent="0.5">
      <c r="A27" s="1" t="s">
        <v>23</v>
      </c>
      <c r="B27" s="6">
        <v>42675</v>
      </c>
      <c r="C27" s="6" t="s">
        <v>11</v>
      </c>
      <c r="D27" s="7">
        <v>4049.3130000000001</v>
      </c>
      <c r="E27" s="8">
        <v>961</v>
      </c>
      <c r="F27" s="8">
        <v>1772</v>
      </c>
      <c r="G27" s="8">
        <v>2264</v>
      </c>
      <c r="H27" s="8">
        <v>4997</v>
      </c>
      <c r="I27" s="7">
        <f t="shared" si="0"/>
        <v>9046.3130000000001</v>
      </c>
    </row>
    <row r="28" spans="1:9" ht="15.75" x14ac:dyDescent="0.5">
      <c r="A28" s="1" t="s">
        <v>23</v>
      </c>
      <c r="B28" s="6">
        <v>42705</v>
      </c>
      <c r="C28" s="6" t="s">
        <v>12</v>
      </c>
      <c r="D28" s="7">
        <v>3906.5340000000001</v>
      </c>
      <c r="E28" s="8">
        <v>1006</v>
      </c>
      <c r="F28" s="8">
        <v>1017</v>
      </c>
      <c r="G28" s="8">
        <v>2647</v>
      </c>
      <c r="H28" s="8">
        <v>4670</v>
      </c>
      <c r="I28" s="7">
        <f t="shared" si="0"/>
        <v>8576.5339999999997</v>
      </c>
    </row>
    <row r="29" spans="1:9" ht="15.75" x14ac:dyDescent="0.5">
      <c r="A29" s="1" t="s">
        <v>23</v>
      </c>
      <c r="B29" s="6">
        <v>42736</v>
      </c>
      <c r="C29" s="6" t="s">
        <v>13</v>
      </c>
      <c r="D29" s="7">
        <v>4630.0519999999997</v>
      </c>
      <c r="E29" s="8">
        <v>1451</v>
      </c>
      <c r="F29" s="8">
        <v>701</v>
      </c>
      <c r="G29" s="8">
        <v>2312</v>
      </c>
      <c r="H29" s="8">
        <v>4464</v>
      </c>
      <c r="I29" s="7">
        <f t="shared" si="0"/>
        <v>9094.0519999999997</v>
      </c>
    </row>
    <row r="30" spans="1:9" ht="15.75" x14ac:dyDescent="0.5">
      <c r="A30" s="1" t="s">
        <v>23</v>
      </c>
      <c r="B30" s="6">
        <v>42767</v>
      </c>
      <c r="C30" s="6" t="s">
        <v>14</v>
      </c>
      <c r="D30" s="7">
        <v>5107.6729999999998</v>
      </c>
      <c r="E30" s="8">
        <v>487</v>
      </c>
      <c r="F30" s="8">
        <v>244</v>
      </c>
      <c r="G30" s="8">
        <v>1812</v>
      </c>
      <c r="H30" s="8">
        <v>2543</v>
      </c>
      <c r="I30" s="7">
        <f t="shared" si="0"/>
        <v>7650.6729999999998</v>
      </c>
    </row>
    <row r="31" spans="1:9" ht="15.75" x14ac:dyDescent="0.5">
      <c r="A31" s="1" t="s">
        <v>23</v>
      </c>
      <c r="B31" s="6">
        <v>42795</v>
      </c>
      <c r="C31" s="6" t="s">
        <v>15</v>
      </c>
      <c r="D31" s="7">
        <v>6662.9989999999998</v>
      </c>
      <c r="E31" s="8">
        <v>243</v>
      </c>
      <c r="F31" s="8">
        <v>1896</v>
      </c>
      <c r="G31" s="8">
        <v>3125</v>
      </c>
      <c r="H31" s="8">
        <v>5264</v>
      </c>
      <c r="I31" s="7">
        <f t="shared" si="0"/>
        <v>11926.999</v>
      </c>
    </row>
    <row r="32" spans="1:9" ht="15.75" x14ac:dyDescent="0.5">
      <c r="A32" s="1" t="s">
        <v>23</v>
      </c>
      <c r="B32" s="6">
        <v>42826</v>
      </c>
      <c r="C32" s="6" t="s">
        <v>16</v>
      </c>
      <c r="D32" s="7">
        <v>5509.6639999999998</v>
      </c>
      <c r="E32" s="8">
        <v>155</v>
      </c>
      <c r="F32" s="8">
        <v>2819</v>
      </c>
      <c r="G32" s="8">
        <v>1946</v>
      </c>
      <c r="H32" s="8">
        <v>4920</v>
      </c>
      <c r="I32" s="7">
        <f t="shared" si="0"/>
        <v>10429.664000000001</v>
      </c>
    </row>
    <row r="33" spans="1:9" ht="15.75" x14ac:dyDescent="0.5">
      <c r="A33" s="1" t="s">
        <v>23</v>
      </c>
      <c r="B33" s="6">
        <v>42856</v>
      </c>
      <c r="C33" s="6" t="s">
        <v>17</v>
      </c>
      <c r="D33" s="7">
        <v>5267.29</v>
      </c>
      <c r="E33" s="8">
        <v>310</v>
      </c>
      <c r="F33" s="8">
        <v>2223</v>
      </c>
      <c r="G33" s="8">
        <v>2654</v>
      </c>
      <c r="H33" s="8">
        <v>5187</v>
      </c>
      <c r="I33" s="7">
        <f t="shared" si="0"/>
        <v>10454.290000000001</v>
      </c>
    </row>
    <row r="34" spans="1:9" ht="15.75" x14ac:dyDescent="0.5">
      <c r="A34" s="1" t="s">
        <v>23</v>
      </c>
      <c r="B34" s="6">
        <v>42887</v>
      </c>
      <c r="C34" s="6" t="s">
        <v>18</v>
      </c>
      <c r="D34" s="7">
        <v>4925.8320000000003</v>
      </c>
      <c r="E34" s="8">
        <v>563</v>
      </c>
      <c r="F34" s="8">
        <v>2117</v>
      </c>
      <c r="G34" s="8">
        <v>1948</v>
      </c>
      <c r="H34" s="8">
        <v>4628</v>
      </c>
      <c r="I34" s="7">
        <f t="shared" si="0"/>
        <v>9553.8320000000003</v>
      </c>
    </row>
    <row r="35" spans="1:9" ht="15.75" x14ac:dyDescent="0.5">
      <c r="A35" s="1" t="s">
        <v>23</v>
      </c>
      <c r="B35" s="6">
        <v>42917</v>
      </c>
      <c r="C35" s="6" t="s">
        <v>19</v>
      </c>
      <c r="D35" s="7">
        <v>4758.4939999999997</v>
      </c>
      <c r="E35" s="8">
        <v>2323</v>
      </c>
      <c r="F35" s="8">
        <v>3172</v>
      </c>
      <c r="G35" s="8">
        <v>873</v>
      </c>
      <c r="H35" s="8">
        <v>6368</v>
      </c>
      <c r="I35" s="7">
        <f t="shared" si="0"/>
        <v>11126.493999999999</v>
      </c>
    </row>
    <row r="36" spans="1:9" ht="15.75" x14ac:dyDescent="0.5">
      <c r="A36" s="1" t="s">
        <v>23</v>
      </c>
      <c r="B36" s="6">
        <v>42948</v>
      </c>
      <c r="C36" s="6" t="s">
        <v>20</v>
      </c>
      <c r="D36" s="7">
        <v>3546.7759999999998</v>
      </c>
      <c r="E36" s="8">
        <v>5257</v>
      </c>
      <c r="F36" s="8">
        <v>2926</v>
      </c>
      <c r="G36" s="8">
        <v>270</v>
      </c>
      <c r="H36" s="8">
        <v>8453</v>
      </c>
      <c r="I36" s="7">
        <f t="shared" si="0"/>
        <v>11999.776</v>
      </c>
    </row>
    <row r="37" spans="1:9" ht="15.75" x14ac:dyDescent="0.5">
      <c r="A37" s="1" t="s">
        <v>23</v>
      </c>
      <c r="B37" s="6">
        <v>42979</v>
      </c>
      <c r="C37" s="6" t="s">
        <v>21</v>
      </c>
      <c r="D37" s="7">
        <v>3536.444</v>
      </c>
      <c r="E37" s="8">
        <v>5914</v>
      </c>
      <c r="F37" s="8">
        <v>1999</v>
      </c>
      <c r="G37" s="8">
        <v>119</v>
      </c>
      <c r="H37" s="8">
        <v>8032</v>
      </c>
      <c r="I37" s="7">
        <f t="shared" si="0"/>
        <v>11568.444</v>
      </c>
    </row>
    <row r="38" spans="1:9" ht="15.75" x14ac:dyDescent="0.5">
      <c r="A38" s="1" t="s">
        <v>24</v>
      </c>
      <c r="B38" s="6">
        <v>43009</v>
      </c>
      <c r="C38" s="6" t="s">
        <v>10</v>
      </c>
      <c r="D38" s="7">
        <v>2655.4169999999999</v>
      </c>
      <c r="E38" s="8">
        <v>5028</v>
      </c>
      <c r="F38" s="8">
        <v>2205</v>
      </c>
      <c r="G38" s="8">
        <v>501</v>
      </c>
      <c r="H38" s="8">
        <v>7734</v>
      </c>
      <c r="I38" s="7">
        <f t="shared" si="0"/>
        <v>10389.416999999999</v>
      </c>
    </row>
    <row r="39" spans="1:9" ht="15.75" x14ac:dyDescent="0.5">
      <c r="A39" s="1" t="s">
        <v>24</v>
      </c>
      <c r="B39" s="6">
        <v>43040</v>
      </c>
      <c r="C39" s="6" t="s">
        <v>11</v>
      </c>
      <c r="D39" s="7">
        <v>2630.34</v>
      </c>
      <c r="E39" s="8">
        <v>3520</v>
      </c>
      <c r="F39" s="8">
        <v>1957</v>
      </c>
      <c r="G39" s="8">
        <v>1582</v>
      </c>
      <c r="H39" s="8">
        <v>7059</v>
      </c>
      <c r="I39" s="7">
        <f t="shared" si="0"/>
        <v>9689.34</v>
      </c>
    </row>
    <row r="40" spans="1:9" ht="15.75" x14ac:dyDescent="0.5">
      <c r="A40" s="1" t="s">
        <v>24</v>
      </c>
      <c r="B40" s="6">
        <v>43070</v>
      </c>
      <c r="C40" s="6" t="s">
        <v>12</v>
      </c>
      <c r="D40" s="7">
        <v>3558.5909999999999</v>
      </c>
      <c r="E40" s="8">
        <v>3994</v>
      </c>
      <c r="F40" s="8">
        <v>1433</v>
      </c>
      <c r="G40" s="8">
        <v>2245</v>
      </c>
      <c r="H40" s="8">
        <v>7672</v>
      </c>
      <c r="I40" s="7">
        <f t="shared" si="0"/>
        <v>11230.591</v>
      </c>
    </row>
    <row r="41" spans="1:9" ht="15.75" x14ac:dyDescent="0.5">
      <c r="A41" s="1" t="s">
        <v>24</v>
      </c>
      <c r="B41" s="6">
        <v>43101</v>
      </c>
      <c r="C41" s="6" t="s">
        <v>13</v>
      </c>
      <c r="D41" s="7">
        <v>3852.75</v>
      </c>
      <c r="E41" s="8">
        <v>3022</v>
      </c>
      <c r="F41" s="8">
        <v>1762</v>
      </c>
      <c r="G41" s="8">
        <v>2082</v>
      </c>
      <c r="H41" s="8">
        <v>6866</v>
      </c>
      <c r="I41" s="7">
        <f t="shared" si="0"/>
        <v>10718.75</v>
      </c>
    </row>
    <row r="42" spans="1:9" ht="15.75" x14ac:dyDescent="0.5">
      <c r="A42" s="1" t="s">
        <v>24</v>
      </c>
      <c r="B42" s="6">
        <v>43132</v>
      </c>
      <c r="C42" s="6" t="s">
        <v>14</v>
      </c>
      <c r="D42" s="7">
        <v>3899.9569999999999</v>
      </c>
      <c r="E42" s="8">
        <v>1254</v>
      </c>
      <c r="F42" s="8">
        <v>1464</v>
      </c>
      <c r="G42" s="8">
        <v>2025</v>
      </c>
      <c r="H42" s="8">
        <v>4743</v>
      </c>
      <c r="I42" s="7">
        <f t="shared" si="0"/>
        <v>8642.9570000000003</v>
      </c>
    </row>
    <row r="43" spans="1:9" ht="15.75" x14ac:dyDescent="0.5">
      <c r="A43" s="1" t="s">
        <v>24</v>
      </c>
      <c r="B43" s="6">
        <v>43160</v>
      </c>
      <c r="C43" s="6" t="s">
        <v>15</v>
      </c>
      <c r="D43" s="7">
        <v>6467.5559999999996</v>
      </c>
      <c r="E43" s="8">
        <v>605</v>
      </c>
      <c r="F43" s="8">
        <v>2586</v>
      </c>
      <c r="G43" s="8">
        <v>2489</v>
      </c>
      <c r="H43" s="8">
        <v>5680</v>
      </c>
      <c r="I43" s="7">
        <f t="shared" si="0"/>
        <v>12147.556</v>
      </c>
    </row>
    <row r="44" spans="1:9" ht="15.75" x14ac:dyDescent="0.5">
      <c r="A44" s="1" t="s">
        <v>24</v>
      </c>
      <c r="B44" s="6">
        <v>43191</v>
      </c>
      <c r="C44" s="6" t="s">
        <v>16</v>
      </c>
      <c r="D44" s="7">
        <v>7649.2659999999996</v>
      </c>
      <c r="E44" s="8">
        <v>115</v>
      </c>
      <c r="F44" s="8">
        <v>2478</v>
      </c>
      <c r="G44" s="8">
        <v>2299</v>
      </c>
      <c r="H44" s="8">
        <v>4892</v>
      </c>
      <c r="I44" s="7">
        <f t="shared" si="0"/>
        <v>12541.266</v>
      </c>
    </row>
    <row r="45" spans="1:9" ht="15.75" x14ac:dyDescent="0.5">
      <c r="A45" s="1" t="s">
        <v>24</v>
      </c>
      <c r="B45" s="6">
        <v>43221</v>
      </c>
      <c r="C45" s="6" t="s">
        <v>17</v>
      </c>
      <c r="D45" s="7">
        <v>7760.8190000000004</v>
      </c>
      <c r="E45" s="8">
        <v>57</v>
      </c>
      <c r="F45" s="8">
        <v>1812</v>
      </c>
      <c r="G45" s="8">
        <v>1811</v>
      </c>
      <c r="H45" s="8">
        <v>3680</v>
      </c>
      <c r="I45" s="7">
        <f t="shared" si="0"/>
        <v>11440.819</v>
      </c>
    </row>
    <row r="46" spans="1:9" ht="15.75" x14ac:dyDescent="0.5">
      <c r="A46" s="1" t="s">
        <v>24</v>
      </c>
      <c r="B46" s="6">
        <v>43252</v>
      </c>
      <c r="C46" s="6" t="s">
        <v>18</v>
      </c>
      <c r="D46" s="7">
        <v>7187.9880000000003</v>
      </c>
      <c r="E46" s="8">
        <v>143</v>
      </c>
      <c r="F46" s="8">
        <v>1762</v>
      </c>
      <c r="G46" s="8">
        <v>1469</v>
      </c>
      <c r="H46" s="8">
        <v>3374</v>
      </c>
      <c r="I46" s="7">
        <f t="shared" si="0"/>
        <v>10561.988000000001</v>
      </c>
    </row>
    <row r="47" spans="1:9" ht="15.75" x14ac:dyDescent="0.5">
      <c r="A47" s="1" t="s">
        <v>24</v>
      </c>
      <c r="B47" s="6">
        <v>43282</v>
      </c>
      <c r="C47" s="6" t="s">
        <v>19</v>
      </c>
      <c r="D47" s="7">
        <v>6770.8320000000003</v>
      </c>
      <c r="E47" s="8">
        <v>1170</v>
      </c>
      <c r="F47" s="8">
        <v>2493</v>
      </c>
      <c r="G47" s="8">
        <v>700</v>
      </c>
      <c r="H47" s="8">
        <v>4363</v>
      </c>
      <c r="I47" s="7">
        <f t="shared" si="0"/>
        <v>11133.832</v>
      </c>
    </row>
    <row r="48" spans="1:9" ht="15.75" x14ac:dyDescent="0.5">
      <c r="A48" s="1" t="s">
        <v>24</v>
      </c>
      <c r="B48" s="6">
        <v>43313</v>
      </c>
      <c r="C48" s="6" t="s">
        <v>20</v>
      </c>
      <c r="D48" s="7">
        <v>5844.3670000000002</v>
      </c>
      <c r="E48" s="8">
        <v>2826</v>
      </c>
      <c r="F48" s="8">
        <v>2418</v>
      </c>
      <c r="G48" s="8">
        <v>542</v>
      </c>
      <c r="H48" s="8">
        <v>5786</v>
      </c>
      <c r="I48" s="7">
        <f t="shared" si="0"/>
        <v>11630.367</v>
      </c>
    </row>
    <row r="49" spans="1:9" ht="15.75" x14ac:dyDescent="0.5">
      <c r="A49" s="1" t="s">
        <v>24</v>
      </c>
      <c r="B49" s="6">
        <v>43344</v>
      </c>
      <c r="C49" s="6" t="s">
        <v>21</v>
      </c>
      <c r="D49" s="7">
        <v>5291.1180000000004</v>
      </c>
      <c r="E49" s="8">
        <v>3361</v>
      </c>
      <c r="F49" s="8">
        <v>1814</v>
      </c>
      <c r="G49" s="8">
        <v>285</v>
      </c>
      <c r="H49" s="8">
        <v>5460</v>
      </c>
      <c r="I49" s="7">
        <f t="shared" si="0"/>
        <v>10751.118</v>
      </c>
    </row>
    <row r="50" spans="1:9" ht="15.75" x14ac:dyDescent="0.5">
      <c r="A50" s="1" t="s">
        <v>25</v>
      </c>
      <c r="B50" s="6">
        <v>43374</v>
      </c>
      <c r="C50" s="6" t="s">
        <v>10</v>
      </c>
      <c r="D50" s="7">
        <v>5660.29</v>
      </c>
      <c r="E50" s="8">
        <v>3106</v>
      </c>
      <c r="F50" s="8">
        <v>2024</v>
      </c>
      <c r="G50" s="8">
        <v>1348</v>
      </c>
      <c r="H50" s="8">
        <v>6478</v>
      </c>
      <c r="I50" s="7">
        <f t="shared" si="0"/>
        <v>12138.29</v>
      </c>
    </row>
    <row r="51" spans="1:9" ht="15.75" x14ac:dyDescent="0.5">
      <c r="A51" s="1" t="s">
        <v>25</v>
      </c>
      <c r="B51" s="6">
        <v>43405</v>
      </c>
      <c r="C51" s="6" t="s">
        <v>11</v>
      </c>
      <c r="D51" s="7">
        <v>5084.1450000000004</v>
      </c>
      <c r="E51" s="8">
        <v>3646</v>
      </c>
      <c r="F51" s="8">
        <v>1243</v>
      </c>
      <c r="G51" s="8">
        <v>3119</v>
      </c>
      <c r="H51" s="8">
        <v>8008</v>
      </c>
      <c r="I51" s="7">
        <f t="shared" si="0"/>
        <v>13092.145</v>
      </c>
    </row>
    <row r="52" spans="1:9" ht="15.75" x14ac:dyDescent="0.5">
      <c r="A52" s="1" t="s">
        <v>25</v>
      </c>
      <c r="B52" s="6">
        <v>43435</v>
      </c>
      <c r="C52" s="6" t="s">
        <v>12</v>
      </c>
      <c r="D52" s="7">
        <v>4302.8230000000003</v>
      </c>
      <c r="E52" s="8">
        <v>3637</v>
      </c>
      <c r="F52" s="8">
        <v>1387</v>
      </c>
      <c r="G52" s="8">
        <v>3261</v>
      </c>
      <c r="H52" s="8">
        <v>8285</v>
      </c>
      <c r="I52" s="7">
        <f t="shared" si="0"/>
        <v>12587.823</v>
      </c>
    </row>
    <row r="53" spans="1:9" ht="15.75" x14ac:dyDescent="0.5">
      <c r="A53" s="1" t="s">
        <v>25</v>
      </c>
      <c r="B53" s="6">
        <v>43466</v>
      </c>
      <c r="C53" s="6" t="s">
        <v>13</v>
      </c>
      <c r="D53" s="7">
        <v>4778.01</v>
      </c>
      <c r="E53" s="8">
        <v>3832</v>
      </c>
      <c r="F53" s="8">
        <v>1036</v>
      </c>
      <c r="G53" s="8">
        <v>3378</v>
      </c>
      <c r="H53" s="8">
        <v>8246</v>
      </c>
      <c r="I53" s="7">
        <f t="shared" si="0"/>
        <v>13024.01</v>
      </c>
    </row>
    <row r="54" spans="1:9" ht="15.75" x14ac:dyDescent="0.5">
      <c r="A54" s="1" t="s">
        <v>25</v>
      </c>
      <c r="B54" s="6">
        <v>43525</v>
      </c>
      <c r="C54" s="6" t="s">
        <v>15</v>
      </c>
      <c r="D54" s="7">
        <v>4652.4719999999998</v>
      </c>
      <c r="E54" s="8">
        <v>827</v>
      </c>
      <c r="F54" s="8">
        <v>3692</v>
      </c>
      <c r="G54" s="8">
        <v>3771</v>
      </c>
      <c r="H54" s="8">
        <v>8290</v>
      </c>
      <c r="I54" s="7">
        <f t="shared" si="0"/>
        <v>12942.472</v>
      </c>
    </row>
    <row r="55" spans="1:9" ht="15.75" x14ac:dyDescent="0.5">
      <c r="A55" s="1" t="s">
        <v>25</v>
      </c>
      <c r="B55" s="6">
        <v>43556</v>
      </c>
      <c r="C55" s="6" t="s">
        <v>16</v>
      </c>
      <c r="D55" s="7">
        <v>5471.9549999999999</v>
      </c>
      <c r="E55" s="8">
        <v>348</v>
      </c>
      <c r="F55" s="8">
        <v>3882</v>
      </c>
      <c r="G55" s="8">
        <v>3653</v>
      </c>
      <c r="H55" s="8">
        <v>7883</v>
      </c>
      <c r="I55" s="7">
        <f t="shared" si="0"/>
        <v>13354.955</v>
      </c>
    </row>
    <row r="56" spans="1:9" ht="15.75" x14ac:dyDescent="0.5">
      <c r="A56" s="1" t="s">
        <v>25</v>
      </c>
      <c r="B56" s="6">
        <v>43586</v>
      </c>
      <c r="C56" s="6" t="s">
        <v>17</v>
      </c>
      <c r="D56" s="7">
        <v>4746.8540000000003</v>
      </c>
      <c r="E56" s="8">
        <v>954</v>
      </c>
      <c r="F56" s="8">
        <v>4093</v>
      </c>
      <c r="G56" s="8">
        <v>3805</v>
      </c>
      <c r="H56" s="8">
        <v>8852</v>
      </c>
      <c r="I56" s="7">
        <f t="shared" si="0"/>
        <v>13598.853999999999</v>
      </c>
    </row>
    <row r="57" spans="1:9" ht="15.75" x14ac:dyDescent="0.5">
      <c r="A57" s="1" t="s">
        <v>25</v>
      </c>
      <c r="B57" s="6">
        <v>43617</v>
      </c>
      <c r="C57" s="6" t="s">
        <v>18</v>
      </c>
      <c r="D57" s="7">
        <v>2972.3989999999999</v>
      </c>
      <c r="E57" s="8">
        <v>1114</v>
      </c>
      <c r="F57" s="8">
        <v>2987</v>
      </c>
      <c r="G57" s="8">
        <v>2211</v>
      </c>
      <c r="H57" s="8">
        <v>6312</v>
      </c>
      <c r="I57" s="7">
        <f t="shared" si="0"/>
        <v>9284.3989999999994</v>
      </c>
    </row>
    <row r="58" spans="1:9" ht="15.75" x14ac:dyDescent="0.5">
      <c r="A58" s="1" t="s">
        <v>25</v>
      </c>
      <c r="B58" s="6">
        <v>43647</v>
      </c>
      <c r="C58" s="6" t="s">
        <v>19</v>
      </c>
      <c r="D58" s="7">
        <v>3125.518</v>
      </c>
      <c r="E58" s="8">
        <v>5926</v>
      </c>
      <c r="F58" s="8">
        <v>4426</v>
      </c>
      <c r="G58" s="8">
        <v>1575</v>
      </c>
      <c r="H58" s="8">
        <v>11927</v>
      </c>
      <c r="I58" s="7">
        <f t="shared" si="0"/>
        <v>15052.518</v>
      </c>
    </row>
    <row r="59" spans="1:9" ht="15.75" x14ac:dyDescent="0.5">
      <c r="A59" s="1" t="s">
        <v>25</v>
      </c>
      <c r="B59" s="6">
        <v>43678</v>
      </c>
      <c r="C59" s="6" t="s">
        <v>20</v>
      </c>
      <c r="D59" s="7">
        <v>2795.105</v>
      </c>
      <c r="E59" s="8">
        <v>7316</v>
      </c>
      <c r="F59" s="8">
        <v>3429</v>
      </c>
      <c r="G59" s="8">
        <v>279</v>
      </c>
      <c r="H59" s="8">
        <v>11024</v>
      </c>
      <c r="I59" s="7">
        <f t="shared" si="0"/>
        <v>13819.105</v>
      </c>
    </row>
    <row r="60" spans="1:9" ht="15.75" x14ac:dyDescent="0.5">
      <c r="A60" s="1" t="s">
        <v>25</v>
      </c>
      <c r="B60" s="6">
        <v>43709</v>
      </c>
      <c r="C60" s="6" t="s">
        <v>21</v>
      </c>
      <c r="D60" s="7">
        <v>2051.7269999999999</v>
      </c>
      <c r="E60" s="8">
        <v>6439</v>
      </c>
      <c r="F60" s="8">
        <v>3261</v>
      </c>
      <c r="G60" s="8">
        <v>175</v>
      </c>
      <c r="H60" s="8">
        <v>9875</v>
      </c>
      <c r="I60" s="7">
        <f t="shared" si="0"/>
        <v>11926.726999999999</v>
      </c>
    </row>
    <row r="61" spans="1:9" ht="15.75" x14ac:dyDescent="0.5">
      <c r="A61" s="1" t="s">
        <v>26</v>
      </c>
      <c r="B61" s="6">
        <v>43739</v>
      </c>
      <c r="C61" s="6" t="s">
        <v>10</v>
      </c>
      <c r="D61" s="7">
        <v>2306.1109999999999</v>
      </c>
      <c r="E61" s="8">
        <v>6021</v>
      </c>
      <c r="F61" s="8">
        <v>3187</v>
      </c>
      <c r="G61" s="8">
        <v>2291</v>
      </c>
      <c r="H61" s="8">
        <v>11499</v>
      </c>
      <c r="I61" s="7">
        <f t="shared" si="0"/>
        <v>13805.111000000001</v>
      </c>
    </row>
    <row r="62" spans="1:9" ht="15.75" x14ac:dyDescent="0.5">
      <c r="A62" s="1" t="s">
        <v>26</v>
      </c>
      <c r="B62" s="6">
        <v>43770</v>
      </c>
      <c r="C62" s="6" t="s">
        <v>11</v>
      </c>
      <c r="D62" s="7">
        <v>2506.248</v>
      </c>
      <c r="E62" s="8">
        <v>4107</v>
      </c>
      <c r="F62" s="8">
        <v>2864</v>
      </c>
      <c r="G62" s="8">
        <v>3201</v>
      </c>
      <c r="H62" s="8">
        <v>10172</v>
      </c>
      <c r="I62" s="7">
        <f t="shared" si="0"/>
        <v>12678.248</v>
      </c>
    </row>
    <row r="63" spans="1:9" ht="15.75" x14ac:dyDescent="0.5">
      <c r="A63" s="1" t="s">
        <v>26</v>
      </c>
      <c r="B63" s="6">
        <v>43800</v>
      </c>
      <c r="C63" s="6" t="s">
        <v>12</v>
      </c>
      <c r="D63" s="7">
        <v>2569.92</v>
      </c>
      <c r="E63" s="8">
        <v>4160</v>
      </c>
      <c r="F63" s="8">
        <v>1885</v>
      </c>
      <c r="G63" s="8">
        <v>4257</v>
      </c>
      <c r="H63" s="8">
        <v>10302</v>
      </c>
      <c r="I63" s="7">
        <f t="shared" si="0"/>
        <v>12871.92</v>
      </c>
    </row>
    <row r="64" spans="1:9" ht="15.75" x14ac:dyDescent="0.5">
      <c r="A64" s="1" t="s">
        <v>26</v>
      </c>
      <c r="B64" s="6">
        <v>43831</v>
      </c>
      <c r="C64" s="6" t="s">
        <v>13</v>
      </c>
      <c r="D64" s="7">
        <v>2474.8649999999998</v>
      </c>
      <c r="E64" s="8">
        <v>2086</v>
      </c>
      <c r="F64" s="8">
        <v>1862</v>
      </c>
      <c r="G64" s="8">
        <v>4542</v>
      </c>
      <c r="H64" s="8">
        <v>8490</v>
      </c>
      <c r="I64" s="7">
        <f t="shared" si="0"/>
        <v>10964.865</v>
      </c>
    </row>
    <row r="65" spans="1:9" ht="15.75" x14ac:dyDescent="0.5">
      <c r="A65" s="1" t="s">
        <v>26</v>
      </c>
      <c r="B65" s="6">
        <v>43862</v>
      </c>
      <c r="C65" s="6" t="s">
        <v>14</v>
      </c>
      <c r="D65" s="7">
        <v>3906.41</v>
      </c>
      <c r="E65" s="8">
        <v>339</v>
      </c>
      <c r="F65" s="8">
        <v>1663</v>
      </c>
      <c r="G65" s="8">
        <v>3455</v>
      </c>
      <c r="H65" s="8">
        <v>5457</v>
      </c>
      <c r="I65" s="7">
        <f t="shared" si="0"/>
        <v>9363.41</v>
      </c>
    </row>
    <row r="66" spans="1:9" ht="15.75" x14ac:dyDescent="0.5">
      <c r="A66" s="1" t="s">
        <v>26</v>
      </c>
      <c r="B66" s="6">
        <v>43891</v>
      </c>
      <c r="C66" s="6" t="s">
        <v>15</v>
      </c>
      <c r="D66" s="7">
        <v>4612.7700000000004</v>
      </c>
      <c r="E66" s="8">
        <v>471</v>
      </c>
      <c r="F66" s="8">
        <v>3652</v>
      </c>
      <c r="G66" s="8">
        <v>3526</v>
      </c>
      <c r="H66" s="8">
        <v>7649</v>
      </c>
      <c r="I66" s="7">
        <f t="shared" si="0"/>
        <v>12261.77</v>
      </c>
    </row>
    <row r="67" spans="1:9" ht="15.75" x14ac:dyDescent="0.5">
      <c r="A67" s="1" t="s">
        <v>26</v>
      </c>
      <c r="B67" s="6">
        <v>43922</v>
      </c>
      <c r="C67" s="6" t="s">
        <v>16</v>
      </c>
      <c r="D67" s="7">
        <v>5052.0529999999999</v>
      </c>
      <c r="E67" s="8">
        <v>6</v>
      </c>
      <c r="F67" s="8">
        <v>4205</v>
      </c>
      <c r="G67" s="8">
        <v>3090</v>
      </c>
      <c r="H67" s="8">
        <v>7301</v>
      </c>
      <c r="I67" s="7">
        <f t="shared" ref="I67:I130" si="1">D67+E67+F67+G67</f>
        <v>12353.053</v>
      </c>
    </row>
    <row r="68" spans="1:9" ht="15.75" x14ac:dyDescent="0.5">
      <c r="A68" s="1" t="s">
        <v>26</v>
      </c>
      <c r="B68" s="6">
        <v>43952</v>
      </c>
      <c r="C68" s="6" t="s">
        <v>17</v>
      </c>
      <c r="D68" s="7">
        <v>5652.0649999999996</v>
      </c>
      <c r="E68" s="8">
        <v>25</v>
      </c>
      <c r="F68" s="8">
        <v>4086</v>
      </c>
      <c r="G68" s="8">
        <v>2379</v>
      </c>
      <c r="H68" s="8">
        <v>6490</v>
      </c>
      <c r="I68" s="7">
        <f t="shared" si="1"/>
        <v>12142.064999999999</v>
      </c>
    </row>
    <row r="69" spans="1:9" ht="15.75" x14ac:dyDescent="0.5">
      <c r="A69" s="1" t="s">
        <v>26</v>
      </c>
      <c r="B69" s="6">
        <v>43983</v>
      </c>
      <c r="C69" s="6" t="s">
        <v>18</v>
      </c>
      <c r="D69" s="7">
        <v>5062.6679999999997</v>
      </c>
      <c r="E69" s="8">
        <v>312</v>
      </c>
      <c r="F69" s="8">
        <v>4579</v>
      </c>
      <c r="G69" s="8">
        <v>1547</v>
      </c>
      <c r="H69" s="8">
        <v>6438</v>
      </c>
      <c r="I69" s="7">
        <f t="shared" si="1"/>
        <v>11500.668</v>
      </c>
    </row>
    <row r="70" spans="1:9" ht="15.75" x14ac:dyDescent="0.5">
      <c r="A70" s="1" t="s">
        <v>26</v>
      </c>
      <c r="B70" s="6">
        <v>44013</v>
      </c>
      <c r="C70" s="6" t="s">
        <v>19</v>
      </c>
      <c r="D70" s="7">
        <v>4425.7179999999998</v>
      </c>
      <c r="E70" s="8">
        <v>3978</v>
      </c>
      <c r="F70" s="8">
        <v>4321</v>
      </c>
      <c r="G70" s="8">
        <v>425</v>
      </c>
      <c r="H70" s="8">
        <v>8724</v>
      </c>
      <c r="I70" s="7">
        <f t="shared" si="1"/>
        <v>13149.718000000001</v>
      </c>
    </row>
    <row r="71" spans="1:9" ht="15.75" x14ac:dyDescent="0.5">
      <c r="A71" s="1" t="s">
        <v>26</v>
      </c>
      <c r="B71" s="6">
        <v>44044</v>
      </c>
      <c r="C71" s="6" t="s">
        <v>20</v>
      </c>
      <c r="D71" s="7">
        <v>4488.6059999999998</v>
      </c>
      <c r="E71" s="8">
        <v>6243</v>
      </c>
      <c r="F71" s="8">
        <v>4586</v>
      </c>
      <c r="G71" s="8">
        <v>179</v>
      </c>
      <c r="H71" s="8">
        <v>11008</v>
      </c>
      <c r="I71" s="7">
        <f t="shared" si="1"/>
        <v>15496.606</v>
      </c>
    </row>
    <row r="72" spans="1:9" ht="15.75" x14ac:dyDescent="0.5">
      <c r="A72" s="1" t="s">
        <v>26</v>
      </c>
      <c r="B72" s="6">
        <v>44075</v>
      </c>
      <c r="C72" s="6" t="s">
        <v>21</v>
      </c>
      <c r="D72" s="7">
        <v>3912.2420000000002</v>
      </c>
      <c r="E72" s="8">
        <v>6362</v>
      </c>
      <c r="F72" s="8">
        <v>3029</v>
      </c>
      <c r="G72" s="8">
        <v>29</v>
      </c>
      <c r="H72" s="8">
        <v>9420</v>
      </c>
      <c r="I72" s="7">
        <f t="shared" si="1"/>
        <v>13332.242</v>
      </c>
    </row>
    <row r="73" spans="1:9" ht="15.75" x14ac:dyDescent="0.5">
      <c r="A73" s="1" t="s">
        <v>27</v>
      </c>
      <c r="B73" s="6">
        <v>44105</v>
      </c>
      <c r="C73" s="6" t="s">
        <v>10</v>
      </c>
      <c r="D73" s="7">
        <v>3680.7939999999999</v>
      </c>
      <c r="E73" s="8">
        <v>5001</v>
      </c>
      <c r="F73" s="8">
        <v>2542</v>
      </c>
      <c r="G73" s="8">
        <v>1842</v>
      </c>
      <c r="H73" s="8">
        <v>9385</v>
      </c>
      <c r="I73" s="7">
        <f t="shared" si="1"/>
        <v>13065.794</v>
      </c>
    </row>
    <row r="74" spans="1:9" ht="15.75" x14ac:dyDescent="0.5">
      <c r="A74" s="1" t="s">
        <v>27</v>
      </c>
      <c r="B74" s="6">
        <v>44136</v>
      </c>
      <c r="C74" s="6" t="s">
        <v>11</v>
      </c>
      <c r="D74" s="7">
        <v>3794.491</v>
      </c>
      <c r="E74" s="8">
        <v>4729</v>
      </c>
      <c r="F74" s="8">
        <v>1520</v>
      </c>
      <c r="G74" s="8">
        <v>3106</v>
      </c>
      <c r="H74" s="8">
        <v>9355</v>
      </c>
      <c r="I74" s="7">
        <f t="shared" si="1"/>
        <v>13149.491</v>
      </c>
    </row>
    <row r="75" spans="1:9" ht="15.75" x14ac:dyDescent="0.5">
      <c r="A75" s="1" t="s">
        <v>27</v>
      </c>
      <c r="B75" s="6">
        <v>44166</v>
      </c>
      <c r="C75" s="6" t="s">
        <v>12</v>
      </c>
      <c r="D75" s="7">
        <v>4754.3410000000003</v>
      </c>
      <c r="E75" s="8">
        <v>4850</v>
      </c>
      <c r="F75" s="8">
        <v>986</v>
      </c>
      <c r="G75" s="8">
        <v>3824</v>
      </c>
      <c r="H75" s="8">
        <v>9660</v>
      </c>
      <c r="I75" s="7">
        <f t="shared" si="1"/>
        <v>14414.341</v>
      </c>
    </row>
    <row r="76" spans="1:9" ht="15.75" x14ac:dyDescent="0.5">
      <c r="A76" s="1" t="s">
        <v>27</v>
      </c>
      <c r="B76" s="6">
        <v>44197</v>
      </c>
      <c r="C76" s="6" t="s">
        <v>13</v>
      </c>
      <c r="D76" s="7">
        <v>5872.625</v>
      </c>
      <c r="E76" s="8">
        <v>2357</v>
      </c>
      <c r="F76" s="8">
        <v>1682</v>
      </c>
      <c r="G76" s="8">
        <v>1995</v>
      </c>
      <c r="H76" s="8">
        <v>6034</v>
      </c>
      <c r="I76" s="7">
        <f t="shared" si="1"/>
        <v>11906.625</v>
      </c>
    </row>
    <row r="77" spans="1:9" ht="15.75" x14ac:dyDescent="0.5">
      <c r="A77" s="1" t="s">
        <v>27</v>
      </c>
      <c r="B77" s="6">
        <v>44228</v>
      </c>
      <c r="C77" s="6" t="s">
        <v>14</v>
      </c>
      <c r="D77" s="7">
        <v>6471.5020000000004</v>
      </c>
      <c r="E77" s="8">
        <v>775</v>
      </c>
      <c r="F77" s="8">
        <v>1074</v>
      </c>
      <c r="G77" s="8">
        <v>2474</v>
      </c>
      <c r="H77" s="8">
        <v>4323</v>
      </c>
      <c r="I77" s="7">
        <f t="shared" si="1"/>
        <v>10794.502</v>
      </c>
    </row>
    <row r="78" spans="1:9" ht="15.75" x14ac:dyDescent="0.5">
      <c r="A78" s="1" t="s">
        <v>27</v>
      </c>
      <c r="B78" s="6">
        <v>44256</v>
      </c>
      <c r="C78" s="6" t="s">
        <v>15</v>
      </c>
      <c r="D78" s="7">
        <v>9308.3089999999993</v>
      </c>
      <c r="E78" s="8">
        <v>289</v>
      </c>
      <c r="F78" s="8">
        <v>2912</v>
      </c>
      <c r="G78" s="8">
        <v>2618</v>
      </c>
      <c r="H78" s="8">
        <v>5819</v>
      </c>
      <c r="I78" s="7">
        <f t="shared" si="1"/>
        <v>15127.308999999999</v>
      </c>
    </row>
    <row r="79" spans="1:9" ht="15.75" x14ac:dyDescent="0.5">
      <c r="A79" s="1" t="s">
        <v>27</v>
      </c>
      <c r="B79" s="6">
        <v>44287</v>
      </c>
      <c r="C79" s="6" t="s">
        <v>16</v>
      </c>
      <c r="D79" s="7">
        <v>8330.2649999999994</v>
      </c>
      <c r="E79" s="8">
        <v>129</v>
      </c>
      <c r="F79" s="8">
        <v>4251</v>
      </c>
      <c r="G79" s="8">
        <v>2627</v>
      </c>
      <c r="H79" s="8">
        <v>7007</v>
      </c>
      <c r="I79" s="7">
        <f t="shared" si="1"/>
        <v>15337.264999999999</v>
      </c>
    </row>
    <row r="80" spans="1:9" ht="15.75" x14ac:dyDescent="0.5">
      <c r="A80" s="1" t="s">
        <v>27</v>
      </c>
      <c r="B80" s="6">
        <v>44317</v>
      </c>
      <c r="C80" s="6" t="s">
        <v>17</v>
      </c>
      <c r="D80" s="7">
        <v>8478.6630000000005</v>
      </c>
      <c r="E80" s="8">
        <v>14</v>
      </c>
      <c r="F80" s="8">
        <v>3432</v>
      </c>
      <c r="G80" s="8">
        <v>2245</v>
      </c>
      <c r="H80" s="8">
        <v>5691</v>
      </c>
      <c r="I80" s="7">
        <f t="shared" si="1"/>
        <v>14169.663</v>
      </c>
    </row>
    <row r="81" spans="1:9" ht="15.75" x14ac:dyDescent="0.5">
      <c r="A81" s="1" t="s">
        <v>27</v>
      </c>
      <c r="B81" s="6">
        <v>44348</v>
      </c>
      <c r="C81" s="6" t="s">
        <v>18</v>
      </c>
      <c r="D81" s="7">
        <v>6336.049</v>
      </c>
      <c r="E81" s="8">
        <v>91</v>
      </c>
      <c r="F81" s="8">
        <v>4171</v>
      </c>
      <c r="G81" s="8">
        <v>1698</v>
      </c>
      <c r="H81" s="8">
        <v>5960</v>
      </c>
      <c r="I81" s="7">
        <f t="shared" si="1"/>
        <v>12296.048999999999</v>
      </c>
    </row>
    <row r="82" spans="1:9" ht="15.75" x14ac:dyDescent="0.5">
      <c r="A82" s="1" t="s">
        <v>27</v>
      </c>
      <c r="B82" s="6">
        <v>44378</v>
      </c>
      <c r="C82" s="6" t="s">
        <v>19</v>
      </c>
      <c r="D82" s="7">
        <v>5475.8760000000002</v>
      </c>
      <c r="E82" s="8">
        <v>1990</v>
      </c>
      <c r="F82" s="8">
        <v>4927</v>
      </c>
      <c r="G82" s="8">
        <v>961</v>
      </c>
      <c r="H82" s="8">
        <v>7878</v>
      </c>
      <c r="I82" s="7">
        <f t="shared" si="1"/>
        <v>13353.876</v>
      </c>
    </row>
    <row r="83" spans="1:9" ht="15.75" x14ac:dyDescent="0.5">
      <c r="A83" s="1" t="s">
        <v>27</v>
      </c>
      <c r="B83" s="6">
        <v>44409</v>
      </c>
      <c r="C83" s="6" t="s">
        <v>20</v>
      </c>
      <c r="D83" s="7">
        <v>3293.279</v>
      </c>
      <c r="E83" s="8">
        <v>4334</v>
      </c>
      <c r="F83" s="8">
        <v>4689</v>
      </c>
      <c r="G83" s="8">
        <v>302</v>
      </c>
      <c r="H83" s="8">
        <v>9325</v>
      </c>
      <c r="I83" s="7">
        <f t="shared" si="1"/>
        <v>12618.279</v>
      </c>
    </row>
    <row r="84" spans="1:9" ht="15.75" x14ac:dyDescent="0.5">
      <c r="A84" s="1" t="s">
        <v>27</v>
      </c>
      <c r="B84" s="6">
        <v>44440</v>
      </c>
      <c r="C84" s="6" t="s">
        <v>21</v>
      </c>
      <c r="D84" s="7">
        <v>2429.0949999999998</v>
      </c>
      <c r="E84" s="8">
        <v>2849</v>
      </c>
      <c r="F84" s="8">
        <v>4350</v>
      </c>
      <c r="G84" s="8">
        <v>165</v>
      </c>
      <c r="H84" s="8">
        <v>7364</v>
      </c>
      <c r="I84" s="7">
        <f t="shared" si="1"/>
        <v>9793.0949999999993</v>
      </c>
    </row>
    <row r="85" spans="1:9" ht="15.75" x14ac:dyDescent="0.5">
      <c r="A85" s="1" t="s">
        <v>28</v>
      </c>
      <c r="B85" s="6">
        <v>44470</v>
      </c>
      <c r="C85" s="6" t="s">
        <v>10</v>
      </c>
      <c r="D85" s="7">
        <v>4028.3270000000002</v>
      </c>
      <c r="E85" s="8">
        <v>1798</v>
      </c>
      <c r="F85" s="8">
        <v>3793</v>
      </c>
      <c r="G85" s="8">
        <v>895</v>
      </c>
      <c r="H85" s="8">
        <v>6486</v>
      </c>
      <c r="I85" s="7">
        <f t="shared" si="1"/>
        <v>10514.327000000001</v>
      </c>
    </row>
    <row r="86" spans="1:9" ht="15.75" x14ac:dyDescent="0.5">
      <c r="A86" s="1" t="s">
        <v>28</v>
      </c>
      <c r="B86" s="6">
        <v>44501</v>
      </c>
      <c r="C86" s="6" t="s">
        <v>11</v>
      </c>
      <c r="D86" s="7">
        <v>4464.8969999999999</v>
      </c>
      <c r="E86" s="8">
        <v>2384</v>
      </c>
      <c r="F86" s="8">
        <v>2477</v>
      </c>
      <c r="G86" s="8">
        <v>3792</v>
      </c>
      <c r="H86" s="8">
        <v>8653</v>
      </c>
      <c r="I86" s="7">
        <f t="shared" si="1"/>
        <v>13117.897000000001</v>
      </c>
    </row>
    <row r="87" spans="1:9" ht="15.75" x14ac:dyDescent="0.5">
      <c r="A87" s="1" t="s">
        <v>28</v>
      </c>
      <c r="B87" s="6">
        <v>44531</v>
      </c>
      <c r="C87" s="6" t="s">
        <v>12</v>
      </c>
      <c r="D87" s="7">
        <v>4708.47</v>
      </c>
      <c r="E87" s="8">
        <v>3440</v>
      </c>
      <c r="F87" s="8">
        <v>2333</v>
      </c>
      <c r="G87" s="8">
        <v>4896</v>
      </c>
      <c r="H87" s="8">
        <v>10669</v>
      </c>
      <c r="I87" s="7">
        <f t="shared" si="1"/>
        <v>15377.470000000001</v>
      </c>
    </row>
    <row r="88" spans="1:9" ht="15.75" x14ac:dyDescent="0.5">
      <c r="A88" s="1" t="s">
        <v>28</v>
      </c>
      <c r="B88" s="6">
        <v>44562</v>
      </c>
      <c r="C88" s="6" t="s">
        <v>13</v>
      </c>
      <c r="D88" s="7">
        <v>5757.13</v>
      </c>
      <c r="E88" s="8">
        <v>2731</v>
      </c>
      <c r="F88" s="8">
        <v>1849</v>
      </c>
      <c r="G88" s="8">
        <v>4500</v>
      </c>
      <c r="H88" s="8">
        <v>9080</v>
      </c>
      <c r="I88" s="7">
        <f t="shared" si="1"/>
        <v>14837.130000000001</v>
      </c>
    </row>
    <row r="89" spans="1:9" ht="15.75" x14ac:dyDescent="0.5">
      <c r="A89" s="1" t="s">
        <v>28</v>
      </c>
      <c r="B89" s="6">
        <v>44593</v>
      </c>
      <c r="C89" s="6" t="s">
        <v>14</v>
      </c>
      <c r="D89" s="7">
        <v>6381.3029999999999</v>
      </c>
      <c r="E89" s="8">
        <v>767</v>
      </c>
      <c r="F89" s="8">
        <v>1747</v>
      </c>
      <c r="G89" s="8">
        <v>3803</v>
      </c>
      <c r="H89" s="8">
        <v>6317</v>
      </c>
      <c r="I89" s="7">
        <f t="shared" si="1"/>
        <v>12698.303</v>
      </c>
    </row>
    <row r="90" spans="1:9" ht="15.75" x14ac:dyDescent="0.5">
      <c r="A90" s="1" t="s">
        <v>28</v>
      </c>
      <c r="B90" s="6">
        <v>44621</v>
      </c>
      <c r="C90" s="6" t="s">
        <v>15</v>
      </c>
      <c r="D90" s="7">
        <v>7458.3670000000002</v>
      </c>
      <c r="E90" s="8">
        <v>14</v>
      </c>
      <c r="F90" s="8">
        <v>3206</v>
      </c>
      <c r="G90" s="8">
        <v>1110</v>
      </c>
      <c r="H90" s="8">
        <v>4330</v>
      </c>
      <c r="I90" s="7">
        <f t="shared" si="1"/>
        <v>11788.367</v>
      </c>
    </row>
    <row r="91" spans="1:9" ht="15.75" x14ac:dyDescent="0.5">
      <c r="A91" s="1" t="s">
        <v>28</v>
      </c>
      <c r="B91" s="6">
        <v>44652</v>
      </c>
      <c r="C91" s="6" t="s">
        <v>16</v>
      </c>
      <c r="D91" s="7">
        <v>6992.5569999999998</v>
      </c>
      <c r="E91" s="8">
        <v>698</v>
      </c>
      <c r="F91" s="8">
        <v>4162</v>
      </c>
      <c r="G91" s="8">
        <v>768</v>
      </c>
      <c r="H91" s="8">
        <v>5628</v>
      </c>
      <c r="I91" s="7">
        <f t="shared" si="1"/>
        <v>12620.557000000001</v>
      </c>
    </row>
    <row r="92" spans="1:9" ht="15.75" x14ac:dyDescent="0.5">
      <c r="A92" s="1" t="s">
        <v>28</v>
      </c>
      <c r="B92" s="6">
        <v>44682</v>
      </c>
      <c r="C92" s="6" t="s">
        <v>17</v>
      </c>
      <c r="D92" s="7">
        <v>7214.74</v>
      </c>
      <c r="E92" s="8">
        <v>1087</v>
      </c>
      <c r="F92" s="8">
        <v>3866</v>
      </c>
      <c r="G92" s="8">
        <v>1139</v>
      </c>
      <c r="H92" s="8">
        <v>6092</v>
      </c>
      <c r="I92" s="7">
        <f t="shared" si="1"/>
        <v>13306.74</v>
      </c>
    </row>
    <row r="93" spans="1:9" ht="15.75" x14ac:dyDescent="0.5">
      <c r="A93" s="1" t="s">
        <v>28</v>
      </c>
      <c r="B93" s="6">
        <v>44713</v>
      </c>
      <c r="C93" s="6" t="s">
        <v>18</v>
      </c>
      <c r="D93" s="7">
        <v>5488.55</v>
      </c>
      <c r="E93" s="8">
        <v>991</v>
      </c>
      <c r="F93" s="8">
        <v>3788</v>
      </c>
      <c r="G93" s="8">
        <v>1212</v>
      </c>
      <c r="H93" s="8">
        <v>5991</v>
      </c>
      <c r="I93" s="7">
        <f t="shared" si="1"/>
        <v>11479.55</v>
      </c>
    </row>
    <row r="94" spans="1:9" ht="15.75" x14ac:dyDescent="0.5">
      <c r="A94" s="1" t="s">
        <v>28</v>
      </c>
      <c r="B94" s="6">
        <v>44743</v>
      </c>
      <c r="C94" s="6" t="s">
        <v>19</v>
      </c>
      <c r="D94" s="7">
        <v>4477.74</v>
      </c>
      <c r="E94" s="8">
        <v>4118</v>
      </c>
      <c r="F94" s="8">
        <v>4963</v>
      </c>
      <c r="G94" s="8">
        <v>1165</v>
      </c>
      <c r="H94" s="8">
        <v>10246</v>
      </c>
      <c r="I94" s="7">
        <f t="shared" si="1"/>
        <v>14723.74</v>
      </c>
    </row>
    <row r="95" spans="1:9" ht="15.75" x14ac:dyDescent="0.5">
      <c r="A95" s="1" t="s">
        <v>28</v>
      </c>
      <c r="B95" s="6">
        <v>44774</v>
      </c>
      <c r="C95" s="6" t="s">
        <v>20</v>
      </c>
      <c r="D95" s="7">
        <v>3325.5520000000001</v>
      </c>
      <c r="E95" s="8">
        <v>7443</v>
      </c>
      <c r="F95" s="8">
        <v>3825</v>
      </c>
      <c r="G95" s="8">
        <v>1532</v>
      </c>
      <c r="H95" s="8">
        <v>12800</v>
      </c>
      <c r="I95" s="7">
        <f t="shared" si="1"/>
        <v>16125.552</v>
      </c>
    </row>
    <row r="96" spans="1:9" ht="15.75" x14ac:dyDescent="0.5">
      <c r="A96" s="1" t="s">
        <v>28</v>
      </c>
      <c r="B96" s="6">
        <v>44805</v>
      </c>
      <c r="C96" s="6" t="s">
        <v>21</v>
      </c>
      <c r="D96" s="7">
        <v>2529.7339999999999</v>
      </c>
      <c r="E96" s="8">
        <v>6419</v>
      </c>
      <c r="F96" s="8">
        <v>2836</v>
      </c>
      <c r="G96" s="8">
        <v>2149</v>
      </c>
      <c r="H96" s="8">
        <v>11404</v>
      </c>
      <c r="I96" s="7">
        <f t="shared" si="1"/>
        <v>13933.734</v>
      </c>
    </row>
    <row r="97" spans="1:9" ht="15.75" x14ac:dyDescent="0.5">
      <c r="A97" s="1" t="s">
        <v>29</v>
      </c>
      <c r="B97" s="6">
        <v>44835</v>
      </c>
      <c r="C97" s="6" t="s">
        <v>10</v>
      </c>
      <c r="D97" s="7">
        <v>2181.837</v>
      </c>
      <c r="E97" s="8">
        <v>6781</v>
      </c>
      <c r="F97" s="8">
        <v>2117</v>
      </c>
      <c r="G97" s="8">
        <v>2205</v>
      </c>
      <c r="H97" s="8">
        <v>11103</v>
      </c>
      <c r="I97" s="7">
        <f t="shared" si="1"/>
        <v>13284.837</v>
      </c>
    </row>
    <row r="98" spans="1:9" ht="15.75" x14ac:dyDescent="0.5">
      <c r="A98" s="1" t="s">
        <v>29</v>
      </c>
      <c r="B98" s="6">
        <v>44866</v>
      </c>
      <c r="C98" s="6" t="s">
        <v>11</v>
      </c>
      <c r="D98" s="7">
        <v>2449.7660000000001</v>
      </c>
      <c r="E98" s="8">
        <v>5887</v>
      </c>
      <c r="F98" s="8">
        <v>1846</v>
      </c>
      <c r="G98" s="8">
        <v>2509</v>
      </c>
      <c r="H98" s="8">
        <v>10242</v>
      </c>
      <c r="I98" s="7">
        <f t="shared" si="1"/>
        <v>12691.766</v>
      </c>
    </row>
    <row r="99" spans="1:9" ht="15.75" x14ac:dyDescent="0.5">
      <c r="A99" s="1" t="s">
        <v>29</v>
      </c>
      <c r="B99" s="6">
        <v>44896</v>
      </c>
      <c r="C99" s="6" t="s">
        <v>12</v>
      </c>
      <c r="D99" s="7">
        <v>3643.5790000000002</v>
      </c>
      <c r="E99" s="8">
        <v>6309</v>
      </c>
      <c r="F99" s="8">
        <v>1475</v>
      </c>
      <c r="G99" s="8">
        <v>3053</v>
      </c>
      <c r="H99" s="8">
        <v>10837</v>
      </c>
      <c r="I99" s="7">
        <f t="shared" si="1"/>
        <v>14480.579</v>
      </c>
    </row>
    <row r="100" spans="1:9" ht="15.75" x14ac:dyDescent="0.5">
      <c r="A100" s="1" t="s">
        <v>29</v>
      </c>
      <c r="B100" s="6">
        <v>44927</v>
      </c>
      <c r="C100" s="6" t="s">
        <v>13</v>
      </c>
      <c r="D100" s="7">
        <v>3103.03</v>
      </c>
      <c r="E100" s="8">
        <v>6138</v>
      </c>
      <c r="F100" s="8">
        <v>1007</v>
      </c>
      <c r="G100" s="8">
        <v>2671</v>
      </c>
      <c r="H100" s="8">
        <v>9816</v>
      </c>
      <c r="I100" s="7">
        <f t="shared" si="1"/>
        <v>12919.03</v>
      </c>
    </row>
    <row r="101" spans="1:9" ht="15.75" x14ac:dyDescent="0.5">
      <c r="A101" s="1" t="s">
        <v>29</v>
      </c>
      <c r="B101" s="6">
        <v>44958</v>
      </c>
      <c r="C101" s="6" t="s">
        <v>14</v>
      </c>
      <c r="D101" s="7">
        <v>3370.4290000000001</v>
      </c>
      <c r="E101" s="8">
        <v>2272</v>
      </c>
      <c r="F101" s="8">
        <v>1592</v>
      </c>
      <c r="G101" s="8">
        <v>3319</v>
      </c>
      <c r="H101" s="8">
        <v>7183</v>
      </c>
      <c r="I101" s="7">
        <f t="shared" si="1"/>
        <v>10553.429</v>
      </c>
    </row>
    <row r="102" spans="1:9" ht="15.75" x14ac:dyDescent="0.5">
      <c r="A102" s="1" t="s">
        <v>29</v>
      </c>
      <c r="B102" s="6">
        <v>44986</v>
      </c>
      <c r="C102" s="6" t="s">
        <v>15</v>
      </c>
      <c r="D102" s="7">
        <v>4878.7380000000003</v>
      </c>
      <c r="E102" s="8">
        <v>1335</v>
      </c>
      <c r="F102" s="8">
        <v>2137</v>
      </c>
      <c r="G102" s="8">
        <v>3799</v>
      </c>
      <c r="H102" s="8">
        <v>7271</v>
      </c>
      <c r="I102" s="7">
        <f t="shared" si="1"/>
        <v>12149.738000000001</v>
      </c>
    </row>
    <row r="103" spans="1:9" ht="15.75" x14ac:dyDescent="0.5">
      <c r="A103" s="1" t="s">
        <v>29</v>
      </c>
      <c r="B103" s="6">
        <v>45017</v>
      </c>
      <c r="C103" s="6" t="s">
        <v>16</v>
      </c>
      <c r="D103" s="7">
        <v>5024.3909999999996</v>
      </c>
      <c r="E103" s="8">
        <v>488</v>
      </c>
      <c r="F103" s="8">
        <v>1659</v>
      </c>
      <c r="G103" s="8">
        <v>2319</v>
      </c>
      <c r="H103" s="8">
        <v>4466</v>
      </c>
      <c r="I103" s="7">
        <f t="shared" si="1"/>
        <v>9490.3909999999996</v>
      </c>
    </row>
    <row r="104" spans="1:9" ht="15.75" x14ac:dyDescent="0.5">
      <c r="A104" s="1" t="s">
        <v>29</v>
      </c>
      <c r="B104" s="6">
        <v>45047</v>
      </c>
      <c r="C104" s="6" t="s">
        <v>17</v>
      </c>
      <c r="D104" s="7">
        <v>6123.4949999999999</v>
      </c>
      <c r="E104" s="8">
        <v>382</v>
      </c>
      <c r="F104" s="8">
        <v>1762</v>
      </c>
      <c r="G104" s="8">
        <v>2201</v>
      </c>
      <c r="H104" s="8">
        <v>4345</v>
      </c>
      <c r="I104" s="7">
        <f t="shared" si="1"/>
        <v>10468.494999999999</v>
      </c>
    </row>
    <row r="105" spans="1:9" ht="15.75" x14ac:dyDescent="0.5">
      <c r="A105" s="1" t="s">
        <v>29</v>
      </c>
      <c r="B105" s="6">
        <v>45078</v>
      </c>
      <c r="C105" s="6" t="s">
        <v>18</v>
      </c>
      <c r="D105" s="7">
        <v>3799.163</v>
      </c>
      <c r="E105" s="8">
        <v>1033</v>
      </c>
      <c r="F105" s="8">
        <v>2335</v>
      </c>
      <c r="G105" s="8">
        <v>2323</v>
      </c>
      <c r="H105" s="8">
        <v>5691</v>
      </c>
      <c r="I105" s="7">
        <f t="shared" si="1"/>
        <v>9490.1630000000005</v>
      </c>
    </row>
    <row r="106" spans="1:9" ht="15.75" x14ac:dyDescent="0.5">
      <c r="A106" s="1" t="s">
        <v>29</v>
      </c>
      <c r="B106" s="6">
        <v>45108</v>
      </c>
      <c r="C106" s="6" t="s">
        <v>19</v>
      </c>
      <c r="D106" s="7">
        <v>2336.5010000000002</v>
      </c>
      <c r="E106" s="8">
        <v>4248</v>
      </c>
      <c r="F106" s="8">
        <v>3055</v>
      </c>
      <c r="G106" s="8">
        <v>1153</v>
      </c>
      <c r="H106" s="8">
        <v>8456</v>
      </c>
      <c r="I106" s="7">
        <f t="shared" si="1"/>
        <v>10792.501</v>
      </c>
    </row>
    <row r="107" spans="1:9" ht="15.75" x14ac:dyDescent="0.5">
      <c r="A107" s="1" t="s">
        <v>29</v>
      </c>
      <c r="B107" s="6">
        <v>45139</v>
      </c>
      <c r="C107" s="6" t="s">
        <v>20</v>
      </c>
      <c r="D107" s="7">
        <v>2667.9119999999998</v>
      </c>
      <c r="E107" s="8">
        <v>9361</v>
      </c>
      <c r="F107" s="8">
        <v>3917</v>
      </c>
      <c r="G107" s="8">
        <v>900</v>
      </c>
      <c r="H107" s="8">
        <v>14178</v>
      </c>
      <c r="I107" s="7">
        <f t="shared" si="1"/>
        <v>16845.912</v>
      </c>
    </row>
    <row r="108" spans="1:9" ht="15.75" x14ac:dyDescent="0.5">
      <c r="A108" s="1" t="s">
        <v>29</v>
      </c>
      <c r="B108" s="6">
        <v>45170</v>
      </c>
      <c r="C108" s="6" t="s">
        <v>21</v>
      </c>
      <c r="D108" s="7">
        <v>3087.9259999999999</v>
      </c>
      <c r="E108" s="8">
        <v>8714</v>
      </c>
      <c r="F108" s="8">
        <v>2832</v>
      </c>
      <c r="G108" s="8">
        <v>630</v>
      </c>
      <c r="H108" s="8">
        <v>12176</v>
      </c>
      <c r="I108" s="7">
        <f t="shared" si="1"/>
        <v>15263.925999999999</v>
      </c>
    </row>
    <row r="109" spans="1:9" ht="15.75" x14ac:dyDescent="0.5">
      <c r="A109" s="1" t="s">
        <v>30</v>
      </c>
      <c r="B109" s="6">
        <v>45200</v>
      </c>
      <c r="C109" s="6" t="s">
        <v>10</v>
      </c>
      <c r="D109" s="7">
        <v>2697.0610000000001</v>
      </c>
      <c r="E109" s="8">
        <v>8456</v>
      </c>
      <c r="F109" s="8">
        <v>1416</v>
      </c>
      <c r="G109" s="8">
        <v>1116</v>
      </c>
      <c r="H109" s="8">
        <v>10988</v>
      </c>
      <c r="I109" s="7">
        <f t="shared" si="1"/>
        <v>13685.061</v>
      </c>
    </row>
    <row r="110" spans="1:9" ht="15.75" x14ac:dyDescent="0.5">
      <c r="A110" s="1" t="s">
        <v>30</v>
      </c>
      <c r="B110" s="6">
        <v>45231</v>
      </c>
      <c r="C110" s="6" t="s">
        <v>11</v>
      </c>
      <c r="D110" s="7">
        <v>3556.8440000000001</v>
      </c>
      <c r="E110" s="8">
        <v>7422</v>
      </c>
      <c r="F110" s="8">
        <v>1052</v>
      </c>
      <c r="G110" s="8">
        <v>2370</v>
      </c>
      <c r="H110" s="8">
        <v>10844</v>
      </c>
      <c r="I110" s="7">
        <f t="shared" si="1"/>
        <v>14400.844000000001</v>
      </c>
    </row>
    <row r="111" spans="1:9" ht="15.75" x14ac:dyDescent="0.5">
      <c r="A111" s="1" t="s">
        <v>30</v>
      </c>
      <c r="B111" s="6">
        <v>45261</v>
      </c>
      <c r="C111" s="6" t="s">
        <v>12</v>
      </c>
      <c r="D111" s="7">
        <v>4670.2730000000001</v>
      </c>
      <c r="E111" s="8">
        <v>6132</v>
      </c>
      <c r="F111" s="8">
        <v>1212</v>
      </c>
      <c r="G111" s="8">
        <v>3445</v>
      </c>
      <c r="H111" s="8">
        <v>10789</v>
      </c>
      <c r="I111" s="7">
        <f t="shared" si="1"/>
        <v>15459.273000000001</v>
      </c>
    </row>
    <row r="112" spans="1:9" ht="15.75" x14ac:dyDescent="0.5">
      <c r="A112" s="1" t="s">
        <v>30</v>
      </c>
      <c r="B112" s="6">
        <v>45292</v>
      </c>
      <c r="C112" s="6" t="s">
        <v>13</v>
      </c>
      <c r="D112" s="9">
        <v>4133.8500000000004</v>
      </c>
      <c r="E112" s="10">
        <v>4874</v>
      </c>
      <c r="F112" s="10">
        <v>1928</v>
      </c>
      <c r="G112" s="10">
        <v>3352</v>
      </c>
      <c r="H112" s="10">
        <v>10154</v>
      </c>
      <c r="I112" s="7">
        <f t="shared" si="1"/>
        <v>14287.85</v>
      </c>
    </row>
    <row r="113" spans="1:9" ht="15.75" x14ac:dyDescent="0.5">
      <c r="A113" s="1" t="s">
        <v>30</v>
      </c>
      <c r="B113" s="6">
        <v>45323</v>
      </c>
      <c r="C113" s="6" t="s">
        <v>14</v>
      </c>
      <c r="D113" s="9">
        <v>4996.9440000000004</v>
      </c>
      <c r="E113" s="10">
        <v>1720</v>
      </c>
      <c r="F113" s="10">
        <v>1930</v>
      </c>
      <c r="G113" s="10">
        <v>3015</v>
      </c>
      <c r="H113" s="10">
        <v>6665</v>
      </c>
      <c r="I113" s="7">
        <f t="shared" si="1"/>
        <v>11661.944</v>
      </c>
    </row>
    <row r="114" spans="1:9" ht="15.75" x14ac:dyDescent="0.5">
      <c r="A114" s="1" t="s">
        <v>30</v>
      </c>
      <c r="B114" s="6">
        <v>45352</v>
      </c>
      <c r="C114" s="6" t="s">
        <v>15</v>
      </c>
      <c r="D114" s="9">
        <v>5993.0119999999997</v>
      </c>
      <c r="E114" s="11">
        <v>427</v>
      </c>
      <c r="F114" s="11">
        <v>3815</v>
      </c>
      <c r="G114" s="11">
        <v>2766</v>
      </c>
      <c r="H114" s="12">
        <v>7008</v>
      </c>
      <c r="I114" s="7">
        <f t="shared" si="1"/>
        <v>13001.011999999999</v>
      </c>
    </row>
    <row r="115" spans="1:9" ht="15.75" x14ac:dyDescent="0.5">
      <c r="A115" s="1" t="s">
        <v>30</v>
      </c>
      <c r="B115" s="6">
        <v>45383</v>
      </c>
      <c r="C115" s="6" t="s">
        <v>16</v>
      </c>
      <c r="D115" s="9">
        <v>6392.835</v>
      </c>
      <c r="E115" s="13">
        <v>64</v>
      </c>
      <c r="F115" s="13">
        <v>4163</v>
      </c>
      <c r="G115" s="13">
        <v>4134</v>
      </c>
      <c r="H115" s="14">
        <v>8361</v>
      </c>
      <c r="I115" s="7">
        <f t="shared" si="1"/>
        <v>14753.834999999999</v>
      </c>
    </row>
    <row r="116" spans="1:9" ht="15.75" x14ac:dyDescent="0.5">
      <c r="A116" s="1" t="s">
        <v>30</v>
      </c>
      <c r="B116" s="6">
        <v>45413</v>
      </c>
      <c r="C116" s="6" t="s">
        <v>17</v>
      </c>
      <c r="D116" s="9">
        <v>5862.91</v>
      </c>
      <c r="E116" s="13">
        <v>412</v>
      </c>
      <c r="F116" s="13">
        <v>3304</v>
      </c>
      <c r="G116" s="13">
        <v>3677</v>
      </c>
      <c r="H116" s="14">
        <v>7393</v>
      </c>
      <c r="I116" s="7">
        <f t="shared" si="1"/>
        <v>13255.91</v>
      </c>
    </row>
    <row r="117" spans="1:9" ht="15.75" x14ac:dyDescent="0.5">
      <c r="A117" s="1" t="s">
        <v>30</v>
      </c>
      <c r="B117" s="6">
        <v>45444</v>
      </c>
      <c r="C117" s="6" t="s">
        <v>18</v>
      </c>
      <c r="D117" s="9">
        <v>5360.8530000000001</v>
      </c>
      <c r="E117" s="13">
        <v>850</v>
      </c>
      <c r="F117" s="13">
        <v>2339</v>
      </c>
      <c r="G117" s="13">
        <v>2806</v>
      </c>
      <c r="H117" s="14">
        <v>5995</v>
      </c>
      <c r="I117" s="7">
        <f t="shared" si="1"/>
        <v>11355.852999999999</v>
      </c>
    </row>
    <row r="118" spans="1:9" ht="15.75" x14ac:dyDescent="0.5">
      <c r="A118" s="1" t="s">
        <v>30</v>
      </c>
      <c r="B118" s="6">
        <v>45474</v>
      </c>
      <c r="C118" s="6" t="s">
        <v>19</v>
      </c>
      <c r="D118" s="9">
        <v>5328.3620000000001</v>
      </c>
      <c r="E118" s="13">
        <v>3552</v>
      </c>
      <c r="F118" s="13">
        <v>4015</v>
      </c>
      <c r="G118" s="13">
        <v>1559</v>
      </c>
      <c r="H118" s="14">
        <v>9126</v>
      </c>
      <c r="I118" s="7">
        <f t="shared" si="1"/>
        <v>14454.362000000001</v>
      </c>
    </row>
    <row r="119" spans="1:9" ht="15.75" x14ac:dyDescent="0.5">
      <c r="A119" s="1" t="s">
        <v>30</v>
      </c>
      <c r="B119" s="6">
        <v>45505</v>
      </c>
      <c r="C119" s="6" t="s">
        <v>20</v>
      </c>
      <c r="D119" s="9">
        <v>5099.9849999999997</v>
      </c>
      <c r="E119" s="13">
        <v>6062</v>
      </c>
      <c r="F119" s="13">
        <v>3001</v>
      </c>
      <c r="G119" s="13">
        <v>774</v>
      </c>
      <c r="H119" s="14">
        <v>9837</v>
      </c>
      <c r="I119" s="7">
        <f t="shared" si="1"/>
        <v>14936.985000000001</v>
      </c>
    </row>
    <row r="120" spans="1:9" ht="15.75" x14ac:dyDescent="0.5">
      <c r="A120" s="1" t="s">
        <v>30</v>
      </c>
      <c r="B120" s="6">
        <v>45536</v>
      </c>
      <c r="C120" s="6" t="s">
        <v>21</v>
      </c>
      <c r="D120" s="9">
        <v>4336.1310000000003</v>
      </c>
      <c r="E120" s="13">
        <v>6418</v>
      </c>
      <c r="F120" s="13">
        <v>3031</v>
      </c>
      <c r="G120" s="13">
        <v>428</v>
      </c>
      <c r="H120" s="13">
        <v>9877</v>
      </c>
      <c r="I120" s="7">
        <f t="shared" si="1"/>
        <v>14213.131000000001</v>
      </c>
    </row>
    <row r="121" spans="1:9" ht="15.75" x14ac:dyDescent="0.5">
      <c r="A121" s="1" t="s">
        <v>31</v>
      </c>
      <c r="B121" s="6">
        <v>45566</v>
      </c>
      <c r="C121" s="6" t="s">
        <v>10</v>
      </c>
      <c r="D121" s="9">
        <v>4017.759</v>
      </c>
      <c r="E121" s="13">
        <v>6392</v>
      </c>
      <c r="F121" s="13">
        <v>2713</v>
      </c>
      <c r="G121" s="13">
        <v>1912</v>
      </c>
      <c r="H121" s="13">
        <v>11017</v>
      </c>
      <c r="I121" s="7">
        <f t="shared" si="1"/>
        <v>15034.759</v>
      </c>
    </row>
    <row r="122" spans="1:9" ht="15.75" x14ac:dyDescent="0.5">
      <c r="A122" s="1" t="s">
        <v>31</v>
      </c>
      <c r="B122" s="6">
        <v>45597</v>
      </c>
      <c r="C122" s="6" t="s">
        <v>11</v>
      </c>
      <c r="D122" s="9">
        <v>4768.0050000000001</v>
      </c>
      <c r="E122" s="13">
        <v>4723</v>
      </c>
      <c r="F122" s="13">
        <v>2323</v>
      </c>
      <c r="G122" s="13">
        <v>2554</v>
      </c>
      <c r="H122" s="13">
        <v>9600</v>
      </c>
      <c r="I122" s="7">
        <f t="shared" si="1"/>
        <v>14368.005000000001</v>
      </c>
    </row>
    <row r="123" spans="1:9" ht="15.75" x14ac:dyDescent="0.5">
      <c r="A123" s="1" t="s">
        <v>31</v>
      </c>
      <c r="B123" s="6">
        <v>45627</v>
      </c>
      <c r="C123" s="6" t="s">
        <v>12</v>
      </c>
      <c r="D123" s="9">
        <v>5429.62</v>
      </c>
      <c r="E123" s="13">
        <v>4298</v>
      </c>
      <c r="F123" s="13">
        <v>2429</v>
      </c>
      <c r="G123" s="13">
        <v>2610</v>
      </c>
      <c r="H123" s="13">
        <v>9337</v>
      </c>
      <c r="I123" s="7">
        <f t="shared" si="1"/>
        <v>14766.619999999999</v>
      </c>
    </row>
    <row r="124" spans="1:9" ht="15.75" x14ac:dyDescent="0.5">
      <c r="A124" s="1" t="s">
        <v>31</v>
      </c>
      <c r="B124" s="6">
        <v>45658</v>
      </c>
      <c r="C124" s="6" t="s">
        <v>13</v>
      </c>
      <c r="D124" s="9">
        <v>6162.009</v>
      </c>
      <c r="E124" s="13">
        <v>3597</v>
      </c>
      <c r="F124" s="13">
        <v>2645</v>
      </c>
      <c r="G124" s="13">
        <v>2478</v>
      </c>
      <c r="H124" s="13">
        <v>8720</v>
      </c>
      <c r="I124" s="7">
        <f t="shared" si="1"/>
        <v>14882.009</v>
      </c>
    </row>
    <row r="125" spans="1:9" ht="15.75" x14ac:dyDescent="0.5">
      <c r="A125" s="1" t="s">
        <v>31</v>
      </c>
      <c r="B125" s="6">
        <v>45689</v>
      </c>
      <c r="C125" s="6" t="s">
        <v>14</v>
      </c>
      <c r="D125" s="9">
        <v>6032.0190000000002</v>
      </c>
      <c r="E125" s="13">
        <v>1439</v>
      </c>
      <c r="F125" s="13">
        <v>2471</v>
      </c>
      <c r="G125" s="13">
        <v>2170</v>
      </c>
      <c r="H125" s="13">
        <v>6080</v>
      </c>
      <c r="I125" s="7">
        <f t="shared" si="1"/>
        <v>12112.019</v>
      </c>
    </row>
    <row r="126" spans="1:9" ht="15.75" x14ac:dyDescent="0.5">
      <c r="A126" s="1" t="s">
        <v>31</v>
      </c>
      <c r="B126" s="6">
        <v>45717</v>
      </c>
      <c r="C126" s="6" t="s">
        <v>15</v>
      </c>
      <c r="D126" s="9">
        <v>7340.8519999999999</v>
      </c>
      <c r="E126" s="14">
        <v>871</v>
      </c>
      <c r="F126" s="14">
        <v>2999</v>
      </c>
      <c r="G126" s="14">
        <v>2390</v>
      </c>
      <c r="H126" s="14">
        <f t="shared" ref="H126:H137" si="2">SUM(E126:G126)</f>
        <v>6260</v>
      </c>
      <c r="I126" s="7">
        <f t="shared" si="1"/>
        <v>13600.851999999999</v>
      </c>
    </row>
    <row r="127" spans="1:9" ht="15.75" x14ac:dyDescent="0.5">
      <c r="A127" s="1" t="s">
        <v>31</v>
      </c>
      <c r="B127" s="6">
        <v>45748</v>
      </c>
      <c r="C127" s="6" t="s">
        <v>16</v>
      </c>
      <c r="D127" s="9">
        <v>7786.8890000000001</v>
      </c>
      <c r="E127" s="14">
        <v>177</v>
      </c>
      <c r="F127" s="14">
        <v>3707</v>
      </c>
      <c r="G127" s="14">
        <v>1567</v>
      </c>
      <c r="H127" s="14">
        <f t="shared" si="2"/>
        <v>5451</v>
      </c>
      <c r="I127" s="7">
        <f t="shared" si="1"/>
        <v>13237.888999999999</v>
      </c>
    </row>
    <row r="128" spans="1:9" ht="15.75" x14ac:dyDescent="0.5">
      <c r="A128" s="1" t="s">
        <v>31</v>
      </c>
      <c r="B128" s="6">
        <v>45778</v>
      </c>
      <c r="C128" s="6" t="s">
        <v>17</v>
      </c>
      <c r="D128" s="9">
        <v>7288.2209999999995</v>
      </c>
      <c r="E128" s="14">
        <v>37</v>
      </c>
      <c r="F128" s="14">
        <v>3192</v>
      </c>
      <c r="G128" s="14">
        <v>2020</v>
      </c>
      <c r="H128" s="14">
        <f t="shared" si="2"/>
        <v>5249</v>
      </c>
      <c r="I128" s="7">
        <f t="shared" si="1"/>
        <v>12537.221</v>
      </c>
    </row>
    <row r="129" spans="1:9" ht="15.75" x14ac:dyDescent="0.5">
      <c r="A129" s="1" t="s">
        <v>31</v>
      </c>
      <c r="B129" s="6">
        <v>45809</v>
      </c>
      <c r="C129" s="6" t="s">
        <v>18</v>
      </c>
      <c r="D129" s="9">
        <v>6746.9520000000002</v>
      </c>
      <c r="E129" s="14">
        <v>368</v>
      </c>
      <c r="F129" s="14">
        <v>3191</v>
      </c>
      <c r="G129" s="14">
        <v>1386</v>
      </c>
      <c r="H129" s="14">
        <f t="shared" si="2"/>
        <v>4945</v>
      </c>
      <c r="I129" s="7">
        <f t="shared" si="1"/>
        <v>11691.952000000001</v>
      </c>
    </row>
    <row r="130" spans="1:9" ht="15.75" x14ac:dyDescent="0.5">
      <c r="A130" s="1" t="s">
        <v>31</v>
      </c>
      <c r="B130" s="6">
        <v>45839</v>
      </c>
      <c r="C130" s="6" t="s">
        <v>19</v>
      </c>
      <c r="D130" s="9">
        <v>6224.4219999999996</v>
      </c>
      <c r="E130" s="14">
        <v>2432</v>
      </c>
      <c r="F130" s="14">
        <v>3935</v>
      </c>
      <c r="G130" s="14">
        <v>617</v>
      </c>
      <c r="H130" s="14">
        <f t="shared" si="2"/>
        <v>6984</v>
      </c>
      <c r="I130" s="7">
        <f t="shared" si="1"/>
        <v>13208.421999999999</v>
      </c>
    </row>
    <row r="131" spans="1:9" ht="15.75" x14ac:dyDescent="0.5">
      <c r="A131" s="1" t="s">
        <v>31</v>
      </c>
      <c r="B131" s="6">
        <v>45870</v>
      </c>
      <c r="C131" s="6" t="s">
        <v>20</v>
      </c>
      <c r="D131" s="14">
        <v>6397</v>
      </c>
      <c r="E131" s="14">
        <v>6867</v>
      </c>
      <c r="F131" s="14">
        <v>2546</v>
      </c>
      <c r="G131" s="14">
        <v>243</v>
      </c>
      <c r="H131" s="14">
        <f t="shared" si="2"/>
        <v>9656</v>
      </c>
      <c r="I131" s="7">
        <f t="shared" ref="I131:I138" si="3">D131+E131+F131+G131</f>
        <v>16053</v>
      </c>
    </row>
    <row r="132" spans="1:9" ht="15.75" x14ac:dyDescent="0.5">
      <c r="A132" s="1" t="s">
        <v>31</v>
      </c>
      <c r="B132" s="6">
        <v>45901</v>
      </c>
      <c r="C132" s="6" t="s">
        <v>21</v>
      </c>
      <c r="D132" s="14">
        <v>6978</v>
      </c>
      <c r="E132" s="14">
        <v>7646</v>
      </c>
      <c r="F132" s="14">
        <v>1865</v>
      </c>
      <c r="G132" s="14">
        <v>41</v>
      </c>
      <c r="H132" s="14">
        <f t="shared" si="2"/>
        <v>9552</v>
      </c>
      <c r="I132" s="7">
        <f t="shared" si="3"/>
        <v>16530</v>
      </c>
    </row>
    <row r="133" spans="1:9" ht="15.75" x14ac:dyDescent="0.5">
      <c r="A133" s="15" t="s">
        <v>32</v>
      </c>
      <c r="B133" s="6">
        <v>45931</v>
      </c>
      <c r="C133" s="6" t="s">
        <v>10</v>
      </c>
      <c r="D133" s="14">
        <v>6800</v>
      </c>
      <c r="E133" s="14">
        <v>6529</v>
      </c>
      <c r="F133" s="14">
        <v>1843</v>
      </c>
      <c r="G133" s="14">
        <v>941</v>
      </c>
      <c r="H133" s="14">
        <f t="shared" si="2"/>
        <v>9313</v>
      </c>
      <c r="I133" s="7">
        <f t="shared" si="3"/>
        <v>16113</v>
      </c>
    </row>
    <row r="134" spans="1:9" ht="15.75" x14ac:dyDescent="0.5">
      <c r="A134" s="15" t="s">
        <v>32</v>
      </c>
      <c r="B134" s="6">
        <v>45962</v>
      </c>
      <c r="C134" s="16" t="s">
        <v>11</v>
      </c>
      <c r="D134" s="14">
        <v>7305.4170000000004</v>
      </c>
      <c r="E134" s="17">
        <v>5350</v>
      </c>
      <c r="F134" s="17">
        <v>1584</v>
      </c>
      <c r="G134" s="14">
        <v>1838</v>
      </c>
      <c r="H134" s="17">
        <f t="shared" si="2"/>
        <v>8772</v>
      </c>
      <c r="I134" s="7">
        <f t="shared" si="3"/>
        <v>16077.417000000001</v>
      </c>
    </row>
    <row r="135" spans="1:9" ht="15.75" x14ac:dyDescent="0.5">
      <c r="A135" s="1" t="s">
        <v>32</v>
      </c>
      <c r="B135" s="6">
        <v>45992</v>
      </c>
      <c r="C135" s="16" t="s">
        <v>12</v>
      </c>
      <c r="D135" s="9">
        <v>7099</v>
      </c>
      <c r="E135" s="17">
        <v>6221</v>
      </c>
      <c r="F135" s="17">
        <v>1333</v>
      </c>
      <c r="G135" s="18">
        <v>2247</v>
      </c>
      <c r="H135" s="17">
        <f t="shared" si="2"/>
        <v>9801</v>
      </c>
      <c r="I135" s="19">
        <f t="shared" si="3"/>
        <v>16900</v>
      </c>
    </row>
    <row r="136" spans="1:9" ht="15.75" x14ac:dyDescent="0.5">
      <c r="A136" s="1" t="s">
        <v>32</v>
      </c>
      <c r="B136" s="6">
        <v>46023</v>
      </c>
      <c r="C136" s="16" t="s">
        <v>13</v>
      </c>
      <c r="D136" s="20">
        <v>6607.7</v>
      </c>
      <c r="E136" s="9">
        <v>4271</v>
      </c>
      <c r="F136" s="9">
        <v>1522</v>
      </c>
      <c r="G136" s="9">
        <v>2811</v>
      </c>
      <c r="H136" s="9">
        <f t="shared" si="2"/>
        <v>8604</v>
      </c>
      <c r="I136" s="21">
        <f t="shared" si="3"/>
        <v>15211.7</v>
      </c>
    </row>
    <row r="137" spans="1:9" ht="15.75" x14ac:dyDescent="0.5">
      <c r="A137" s="1" t="s">
        <v>32</v>
      </c>
      <c r="B137" s="6">
        <v>46054</v>
      </c>
      <c r="C137" s="16" t="s">
        <v>14</v>
      </c>
      <c r="D137" s="22">
        <v>6768.1450000000004</v>
      </c>
      <c r="E137" s="18">
        <v>1580</v>
      </c>
      <c r="F137" s="9">
        <v>1338</v>
      </c>
      <c r="G137" s="18">
        <v>2753.2649999999999</v>
      </c>
      <c r="H137" s="23">
        <f t="shared" si="2"/>
        <v>5671.2649999999994</v>
      </c>
      <c r="I137" s="24">
        <f>D137+E137+F137+G137</f>
        <v>12439.41</v>
      </c>
    </row>
    <row r="138" spans="1:9" ht="15.75" x14ac:dyDescent="0.5">
      <c r="A138" s="1" t="s">
        <v>32</v>
      </c>
      <c r="B138" s="6">
        <v>46082</v>
      </c>
      <c r="C138" s="16" t="s">
        <v>15</v>
      </c>
      <c r="D138" s="22"/>
      <c r="E138" s="9">
        <v>991</v>
      </c>
      <c r="F138" s="25">
        <v>4784</v>
      </c>
      <c r="G138" s="9">
        <v>2732</v>
      </c>
      <c r="H138" s="26">
        <f>SUM(E138:G138)</f>
        <v>8507</v>
      </c>
      <c r="I138" s="24">
        <f t="shared" si="3"/>
        <v>8507</v>
      </c>
    </row>
    <row r="139" spans="1:9" ht="15.75" x14ac:dyDescent="0.5">
      <c r="A139" s="1" t="s">
        <v>32</v>
      </c>
      <c r="B139" s="6">
        <v>46113</v>
      </c>
      <c r="C139" s="16" t="s">
        <v>16</v>
      </c>
      <c r="D139" s="22"/>
      <c r="E139" s="9"/>
      <c r="F139" s="9"/>
      <c r="G139" s="27"/>
      <c r="H139" s="28"/>
      <c r="I139" s="24"/>
    </row>
    <row r="140" spans="1:9" ht="15.75" x14ac:dyDescent="0.5">
      <c r="A140" s="1" t="s">
        <v>32</v>
      </c>
      <c r="B140" s="6">
        <v>46143</v>
      </c>
      <c r="C140" s="16" t="s">
        <v>17</v>
      </c>
      <c r="D140" s="22"/>
      <c r="E140" s="29"/>
      <c r="F140" s="29"/>
      <c r="G140" s="22"/>
      <c r="H140" s="22"/>
      <c r="I140" s="24"/>
    </row>
    <row r="141" spans="1:9" ht="15.75" x14ac:dyDescent="0.5">
      <c r="A141" s="1" t="s">
        <v>32</v>
      </c>
      <c r="B141" s="6">
        <v>46174</v>
      </c>
      <c r="C141" s="16" t="s">
        <v>18</v>
      </c>
      <c r="D141" s="22"/>
      <c r="E141" s="29"/>
      <c r="F141" s="29"/>
      <c r="G141" s="22"/>
      <c r="H141" s="28"/>
      <c r="I141" s="24"/>
    </row>
    <row r="142" spans="1:9" ht="15.75" x14ac:dyDescent="0.5">
      <c r="A142" s="1" t="s">
        <v>32</v>
      </c>
      <c r="B142" s="6">
        <v>46204</v>
      </c>
      <c r="C142" s="16" t="s">
        <v>19</v>
      </c>
      <c r="D142" s="22"/>
      <c r="E142" s="29"/>
      <c r="F142" s="29"/>
      <c r="G142" s="22"/>
      <c r="H142" s="22"/>
      <c r="I142" s="24"/>
    </row>
    <row r="143" spans="1:9" ht="15.75" x14ac:dyDescent="0.5">
      <c r="A143" s="1" t="s">
        <v>32</v>
      </c>
      <c r="B143" s="6">
        <v>46235</v>
      </c>
      <c r="C143" s="16" t="s">
        <v>20</v>
      </c>
      <c r="D143" s="22"/>
      <c r="E143" s="29"/>
      <c r="F143" s="29"/>
      <c r="G143" s="22"/>
      <c r="H143" s="28"/>
      <c r="I143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93D5C-832C-4872-9E6E-340B5FE9EFAF}">
  <dimension ref="A1:J140"/>
  <sheetViews>
    <sheetView workbookViewId="0">
      <pane ySplit="1" topLeftCell="A125" activePane="bottomLeft" state="frozen"/>
      <selection pane="bottomLeft" activeCell="I135" sqref="I135"/>
    </sheetView>
  </sheetViews>
  <sheetFormatPr defaultColWidth="9.1328125" defaultRowHeight="15.75" x14ac:dyDescent="0.5"/>
  <cols>
    <col min="1" max="1" width="12.265625" style="36" bestFit="1" customWidth="1"/>
    <col min="2" max="69" width="17.1328125" style="36" customWidth="1"/>
    <col min="70" max="16384" width="9.1328125" style="36"/>
  </cols>
  <sheetData>
    <row r="1" spans="1:10" ht="42" x14ac:dyDescent="0.5">
      <c r="A1" s="30" t="s">
        <v>0</v>
      </c>
      <c r="B1" s="31" t="s">
        <v>1</v>
      </c>
      <c r="C1" s="31" t="s">
        <v>2</v>
      </c>
      <c r="D1" s="32" t="s">
        <v>3</v>
      </c>
      <c r="E1" s="32" t="s">
        <v>4</v>
      </c>
      <c r="F1" s="32" t="s">
        <v>5</v>
      </c>
      <c r="G1" s="33" t="s">
        <v>7</v>
      </c>
      <c r="H1" s="34" t="s">
        <v>8</v>
      </c>
      <c r="I1" s="32" t="s">
        <v>33</v>
      </c>
      <c r="J1" s="35"/>
    </row>
    <row r="2" spans="1:10" x14ac:dyDescent="0.5">
      <c r="A2" s="30" t="s">
        <v>9</v>
      </c>
      <c r="B2" s="37">
        <v>41913</v>
      </c>
      <c r="C2" s="37" t="s">
        <v>10</v>
      </c>
      <c r="D2" s="38">
        <v>8973.7330000000002</v>
      </c>
      <c r="E2" s="39">
        <v>739.65300000000002</v>
      </c>
      <c r="F2" s="39">
        <v>163.11198999999999</v>
      </c>
      <c r="G2" s="40">
        <f>E2+F2</f>
        <v>902.76499000000001</v>
      </c>
      <c r="H2" s="38">
        <f t="shared" ref="H2:H65" si="0">SUM(D2:F2)</f>
        <v>9876.4979899999998</v>
      </c>
      <c r="I2" s="40">
        <v>4101.8517949999996</v>
      </c>
      <c r="J2" s="41"/>
    </row>
    <row r="3" spans="1:10" x14ac:dyDescent="0.5">
      <c r="A3" s="30" t="s">
        <v>9</v>
      </c>
      <c r="B3" s="37">
        <v>41944</v>
      </c>
      <c r="C3" s="37" t="s">
        <v>11</v>
      </c>
      <c r="D3" s="38">
        <v>11023.136400000001</v>
      </c>
      <c r="E3" s="39">
        <v>176.11699999999999</v>
      </c>
      <c r="F3" s="39">
        <v>7.9275399999999996</v>
      </c>
      <c r="G3" s="40">
        <f t="shared" ref="G3:G66" si="1">E3+F3</f>
        <v>184.04453999999998</v>
      </c>
      <c r="H3" s="38">
        <f t="shared" si="0"/>
        <v>11207.180940000002</v>
      </c>
      <c r="I3" s="40">
        <v>6026.4413530000002</v>
      </c>
      <c r="J3" s="41"/>
    </row>
    <row r="4" spans="1:10" x14ac:dyDescent="0.5">
      <c r="A4" s="30" t="s">
        <v>9</v>
      </c>
      <c r="B4" s="37">
        <v>41974</v>
      </c>
      <c r="C4" s="37" t="s">
        <v>12</v>
      </c>
      <c r="D4" s="38">
        <v>8205.1121000000003</v>
      </c>
      <c r="E4" s="39">
        <v>138.40899999999999</v>
      </c>
      <c r="F4" s="39">
        <v>25.84244</v>
      </c>
      <c r="G4" s="40">
        <f t="shared" si="1"/>
        <v>164.25144</v>
      </c>
      <c r="H4" s="38">
        <f t="shared" si="0"/>
        <v>8369.3635400000003</v>
      </c>
      <c r="I4" s="40">
        <v>8526.8235729999997</v>
      </c>
      <c r="J4" s="41"/>
    </row>
    <row r="5" spans="1:10" x14ac:dyDescent="0.5">
      <c r="A5" s="30" t="s">
        <v>9</v>
      </c>
      <c r="B5" s="37">
        <v>42005</v>
      </c>
      <c r="C5" s="37" t="s">
        <v>13</v>
      </c>
      <c r="D5" s="38">
        <v>6998.4539999999997</v>
      </c>
      <c r="E5" s="39">
        <v>85.221000000000004</v>
      </c>
      <c r="F5" s="39">
        <v>43.522939999999998</v>
      </c>
      <c r="G5" s="40">
        <f t="shared" si="1"/>
        <v>128.74394000000001</v>
      </c>
      <c r="H5" s="38">
        <f t="shared" si="0"/>
        <v>7127.1979399999991</v>
      </c>
      <c r="I5" s="40">
        <v>6875.0577229999999</v>
      </c>
      <c r="J5" s="41"/>
    </row>
    <row r="6" spans="1:10" x14ac:dyDescent="0.5">
      <c r="A6" s="30" t="s">
        <v>9</v>
      </c>
      <c r="B6" s="37">
        <v>42036</v>
      </c>
      <c r="C6" s="37" t="s">
        <v>14</v>
      </c>
      <c r="D6" s="38">
        <v>4532.0280999999995</v>
      </c>
      <c r="E6" s="39">
        <v>868.63499999999999</v>
      </c>
      <c r="F6" s="39">
        <v>9.0276099999999992</v>
      </c>
      <c r="G6" s="40">
        <f t="shared" si="1"/>
        <v>877.66260999999997</v>
      </c>
      <c r="H6" s="38">
        <f t="shared" si="0"/>
        <v>5409.6907099999999</v>
      </c>
      <c r="I6" s="40">
        <v>4263.4137739999996</v>
      </c>
      <c r="J6" s="41"/>
    </row>
    <row r="7" spans="1:10" x14ac:dyDescent="0.5">
      <c r="A7" s="30" t="s">
        <v>9</v>
      </c>
      <c r="B7" s="37">
        <v>42064</v>
      </c>
      <c r="C7" s="37" t="s">
        <v>15</v>
      </c>
      <c r="D7" s="38">
        <v>2560.7485000000001</v>
      </c>
      <c r="E7" s="39">
        <v>5592.0969999999998</v>
      </c>
      <c r="F7" s="39">
        <v>11.29255</v>
      </c>
      <c r="G7" s="40">
        <f t="shared" si="1"/>
        <v>5603.3895499999999</v>
      </c>
      <c r="H7" s="38">
        <f t="shared" si="0"/>
        <v>8164.1380499999996</v>
      </c>
      <c r="I7" s="40">
        <v>4493.0377989999997</v>
      </c>
      <c r="J7" s="41"/>
    </row>
    <row r="8" spans="1:10" x14ac:dyDescent="0.5">
      <c r="A8" s="30" t="s">
        <v>9</v>
      </c>
      <c r="B8" s="37">
        <v>42095</v>
      </c>
      <c r="C8" s="37" t="s">
        <v>16</v>
      </c>
      <c r="D8" s="38">
        <v>1351.7989</v>
      </c>
      <c r="E8" s="39">
        <v>6550.9780000000001</v>
      </c>
      <c r="F8" s="39">
        <v>1339.9629809999999</v>
      </c>
      <c r="G8" s="40">
        <f t="shared" si="1"/>
        <v>7890.9409809999997</v>
      </c>
      <c r="H8" s="38">
        <f t="shared" si="0"/>
        <v>9242.7398809999995</v>
      </c>
      <c r="I8" s="40">
        <v>5309.9545529999996</v>
      </c>
      <c r="J8" s="41"/>
    </row>
    <row r="9" spans="1:10" x14ac:dyDescent="0.5">
      <c r="A9" s="30" t="s">
        <v>9</v>
      </c>
      <c r="B9" s="37">
        <v>42125</v>
      </c>
      <c r="C9" s="37" t="s">
        <v>17</v>
      </c>
      <c r="D9" s="38">
        <v>1197.5979</v>
      </c>
      <c r="E9" s="39">
        <v>9340.9580000000005</v>
      </c>
      <c r="F9" s="39">
        <v>2488.4214219999999</v>
      </c>
      <c r="G9" s="40">
        <f t="shared" si="1"/>
        <v>11829.379422</v>
      </c>
      <c r="H9" s="38">
        <f t="shared" si="0"/>
        <v>13026.977322000001</v>
      </c>
      <c r="I9" s="40">
        <v>6126.975469</v>
      </c>
      <c r="J9" s="41"/>
    </row>
    <row r="10" spans="1:10" x14ac:dyDescent="0.5">
      <c r="A10" s="30" t="s">
        <v>9</v>
      </c>
      <c r="B10" s="37">
        <v>42156</v>
      </c>
      <c r="C10" s="37" t="s">
        <v>18</v>
      </c>
      <c r="D10" s="38">
        <v>936.50099999999998</v>
      </c>
      <c r="E10" s="39">
        <v>9810.1170000000002</v>
      </c>
      <c r="F10" s="39">
        <v>2367.7115709999998</v>
      </c>
      <c r="G10" s="40">
        <f t="shared" si="1"/>
        <v>12177.828571</v>
      </c>
      <c r="H10" s="38">
        <f t="shared" si="0"/>
        <v>13114.329571</v>
      </c>
      <c r="I10" s="40">
        <v>8087.0899170000002</v>
      </c>
      <c r="J10" s="41"/>
    </row>
    <row r="11" spans="1:10" x14ac:dyDescent="0.5">
      <c r="A11" s="30" t="s">
        <v>9</v>
      </c>
      <c r="B11" s="37">
        <v>42186</v>
      </c>
      <c r="C11" s="37" t="s">
        <v>19</v>
      </c>
      <c r="D11" s="38">
        <v>1079.2905000000001</v>
      </c>
      <c r="E11" s="39">
        <v>8440.3179999999993</v>
      </c>
      <c r="F11" s="39">
        <v>1441.411668</v>
      </c>
      <c r="G11" s="40">
        <f t="shared" si="1"/>
        <v>9881.7296679999999</v>
      </c>
      <c r="H11" s="38">
        <f t="shared" si="0"/>
        <v>10961.020167999999</v>
      </c>
      <c r="I11" s="40">
        <v>9500.0133679999999</v>
      </c>
      <c r="J11" s="41"/>
    </row>
    <row r="12" spans="1:10" x14ac:dyDescent="0.5">
      <c r="A12" s="30" t="s">
        <v>9</v>
      </c>
      <c r="B12" s="37">
        <v>42217</v>
      </c>
      <c r="C12" s="37" t="s">
        <v>20</v>
      </c>
      <c r="D12" s="38">
        <v>1159.7558999999999</v>
      </c>
      <c r="E12" s="39">
        <v>5161.8239999999996</v>
      </c>
      <c r="F12" s="39">
        <v>1256.5992120000001</v>
      </c>
      <c r="G12" s="40">
        <f t="shared" si="1"/>
        <v>6418.4232119999997</v>
      </c>
      <c r="H12" s="38">
        <f t="shared" si="0"/>
        <v>7578.1791119999998</v>
      </c>
      <c r="I12" s="40">
        <v>7783.5297449999998</v>
      </c>
      <c r="J12" s="41"/>
    </row>
    <row r="13" spans="1:10" x14ac:dyDescent="0.5">
      <c r="A13" s="30" t="s">
        <v>9</v>
      </c>
      <c r="B13" s="37">
        <v>42248</v>
      </c>
      <c r="C13" s="37" t="s">
        <v>21</v>
      </c>
      <c r="D13" s="38">
        <v>2349.5696000000003</v>
      </c>
      <c r="E13" s="39">
        <v>3704.6280000000002</v>
      </c>
      <c r="F13" s="39">
        <v>1393.4871889999999</v>
      </c>
      <c r="G13" s="40">
        <f t="shared" si="1"/>
        <v>5098.1151890000001</v>
      </c>
      <c r="H13" s="38">
        <f t="shared" si="0"/>
        <v>7447.6847890000008</v>
      </c>
      <c r="I13" s="40">
        <v>7255.4914259999996</v>
      </c>
      <c r="J13" s="41"/>
    </row>
    <row r="14" spans="1:10" x14ac:dyDescent="0.5">
      <c r="A14" s="30" t="s">
        <v>22</v>
      </c>
      <c r="B14" s="37">
        <v>42278</v>
      </c>
      <c r="C14" s="37" t="s">
        <v>10</v>
      </c>
      <c r="D14" s="38">
        <v>10018.270500000001</v>
      </c>
      <c r="E14" s="40">
        <v>2593.8200000000002</v>
      </c>
      <c r="F14" s="40">
        <v>921.188174</v>
      </c>
      <c r="G14" s="40">
        <f t="shared" si="1"/>
        <v>3515.0081740000001</v>
      </c>
      <c r="H14" s="38">
        <f t="shared" si="0"/>
        <v>13533.278674000001</v>
      </c>
      <c r="I14" s="40">
        <v>5531.6962169999997</v>
      </c>
      <c r="J14" s="41"/>
    </row>
    <row r="15" spans="1:10" x14ac:dyDescent="0.5">
      <c r="A15" s="30" t="s">
        <v>22</v>
      </c>
      <c r="B15" s="37">
        <v>42309</v>
      </c>
      <c r="C15" s="37" t="s">
        <v>11</v>
      </c>
      <c r="D15" s="38">
        <v>9169.2691999999988</v>
      </c>
      <c r="E15" s="40">
        <v>1442.8409999999999</v>
      </c>
      <c r="F15" s="40">
        <v>276.67346900000001</v>
      </c>
      <c r="G15" s="40">
        <f t="shared" si="1"/>
        <v>1719.514469</v>
      </c>
      <c r="H15" s="38">
        <f t="shared" si="0"/>
        <v>10888.783668999999</v>
      </c>
      <c r="I15" s="40">
        <v>7393.4502789999997</v>
      </c>
      <c r="J15" s="41"/>
    </row>
    <row r="16" spans="1:10" x14ac:dyDescent="0.5">
      <c r="A16" s="30" t="s">
        <v>22</v>
      </c>
      <c r="B16" s="37">
        <v>42339</v>
      </c>
      <c r="C16" s="37" t="s">
        <v>12</v>
      </c>
      <c r="D16" s="38">
        <v>6798.2859000000008</v>
      </c>
      <c r="E16" s="40">
        <v>731.21400000000006</v>
      </c>
      <c r="F16" s="40">
        <v>75.94744</v>
      </c>
      <c r="G16" s="40">
        <f t="shared" si="1"/>
        <v>807.16144000000008</v>
      </c>
      <c r="H16" s="38">
        <f t="shared" si="0"/>
        <v>7605.4473400000006</v>
      </c>
      <c r="I16" s="40">
        <v>9119.8444770000006</v>
      </c>
      <c r="J16" s="41"/>
    </row>
    <row r="17" spans="1:10" x14ac:dyDescent="0.5">
      <c r="A17" s="30" t="s">
        <v>22</v>
      </c>
      <c r="B17" s="37">
        <v>42370</v>
      </c>
      <c r="C17" s="37" t="s">
        <v>13</v>
      </c>
      <c r="D17" s="38">
        <v>6085.6731</v>
      </c>
      <c r="E17" s="40">
        <v>394.42200000000003</v>
      </c>
      <c r="F17" s="40">
        <v>44.62274</v>
      </c>
      <c r="G17" s="40">
        <f t="shared" si="1"/>
        <v>439.04474000000005</v>
      </c>
      <c r="H17" s="38">
        <f t="shared" si="0"/>
        <v>6524.7178400000003</v>
      </c>
      <c r="I17" s="40">
        <v>5656.896925</v>
      </c>
      <c r="J17" s="41"/>
    </row>
    <row r="18" spans="1:10" x14ac:dyDescent="0.5">
      <c r="A18" s="30" t="s">
        <v>22</v>
      </c>
      <c r="B18" s="37">
        <v>42401</v>
      </c>
      <c r="C18" s="37" t="s">
        <v>14</v>
      </c>
      <c r="D18" s="38">
        <v>5684.9362999999994</v>
      </c>
      <c r="E18" s="40">
        <v>2036.79</v>
      </c>
      <c r="F18" s="40">
        <v>6.3586999999999998</v>
      </c>
      <c r="G18" s="40">
        <f t="shared" si="1"/>
        <v>2043.1487</v>
      </c>
      <c r="H18" s="38">
        <f t="shared" si="0"/>
        <v>7728.0849999999991</v>
      </c>
      <c r="I18" s="40">
        <v>4507.7679509999998</v>
      </c>
      <c r="J18" s="41"/>
    </row>
    <row r="19" spans="1:10" x14ac:dyDescent="0.5">
      <c r="A19" s="30" t="s">
        <v>22</v>
      </c>
      <c r="B19" s="37">
        <v>42430</v>
      </c>
      <c r="C19" s="37" t="s">
        <v>15</v>
      </c>
      <c r="D19" s="38">
        <v>2641.9826000000003</v>
      </c>
      <c r="E19" s="40">
        <v>8373.8349999999991</v>
      </c>
      <c r="F19" s="40">
        <v>32.572330000000001</v>
      </c>
      <c r="G19" s="40">
        <f t="shared" si="1"/>
        <v>8406.40733</v>
      </c>
      <c r="H19" s="38">
        <f t="shared" si="0"/>
        <v>11048.389929999999</v>
      </c>
      <c r="I19" s="40">
        <v>6097.5320469999997</v>
      </c>
      <c r="J19" s="41"/>
    </row>
    <row r="20" spans="1:10" x14ac:dyDescent="0.5">
      <c r="A20" s="42" t="s">
        <v>22</v>
      </c>
      <c r="B20" s="43">
        <v>42461</v>
      </c>
      <c r="C20" s="43" t="s">
        <v>16</v>
      </c>
      <c r="D20" s="44">
        <v>1360.3616999999999</v>
      </c>
      <c r="E20" s="45">
        <v>10085.875</v>
      </c>
      <c r="F20" s="45">
        <v>673.74343899999997</v>
      </c>
      <c r="G20" s="45">
        <f t="shared" si="1"/>
        <v>10759.618439</v>
      </c>
      <c r="H20" s="44">
        <f t="shared" si="0"/>
        <v>12119.980138999999</v>
      </c>
      <c r="I20" s="45">
        <v>7071.1357889999999</v>
      </c>
      <c r="J20" s="46"/>
    </row>
    <row r="21" spans="1:10" x14ac:dyDescent="0.5">
      <c r="A21" s="30" t="s">
        <v>22</v>
      </c>
      <c r="B21" s="37">
        <v>42491</v>
      </c>
      <c r="C21" s="37" t="s">
        <v>17</v>
      </c>
      <c r="D21" s="38">
        <v>887.62330000000009</v>
      </c>
      <c r="E21" s="40">
        <v>9925.1</v>
      </c>
      <c r="F21" s="40">
        <v>2191.079737</v>
      </c>
      <c r="G21" s="40">
        <f t="shared" si="1"/>
        <v>12116.179737</v>
      </c>
      <c r="H21" s="38">
        <f t="shared" si="0"/>
        <v>13003.803037</v>
      </c>
      <c r="I21" s="40">
        <v>7664.1737489999996</v>
      </c>
      <c r="J21" s="41"/>
    </row>
    <row r="22" spans="1:10" x14ac:dyDescent="0.5">
      <c r="A22" s="30" t="s">
        <v>22</v>
      </c>
      <c r="B22" s="37">
        <v>42522</v>
      </c>
      <c r="C22" s="37" t="s">
        <v>18</v>
      </c>
      <c r="D22" s="38">
        <v>1052.4513999999999</v>
      </c>
      <c r="E22" s="40">
        <v>7761.03</v>
      </c>
      <c r="F22" s="40">
        <v>2066.4167630000002</v>
      </c>
      <c r="G22" s="40">
        <f t="shared" si="1"/>
        <v>9827.4467629999999</v>
      </c>
      <c r="H22" s="38">
        <f t="shared" si="0"/>
        <v>10879.898163000002</v>
      </c>
      <c r="I22" s="40">
        <v>7564.8051210000003</v>
      </c>
      <c r="J22" s="41"/>
    </row>
    <row r="23" spans="1:10" x14ac:dyDescent="0.5">
      <c r="A23" s="30" t="s">
        <v>22</v>
      </c>
      <c r="B23" s="37">
        <v>42552</v>
      </c>
      <c r="C23" s="37" t="s">
        <v>19</v>
      </c>
      <c r="D23" s="38">
        <v>2660.0982000000004</v>
      </c>
      <c r="E23" s="40">
        <v>5787.1890000000003</v>
      </c>
      <c r="F23" s="40">
        <v>1327.026382</v>
      </c>
      <c r="G23" s="40">
        <f t="shared" si="1"/>
        <v>7114.2153820000003</v>
      </c>
      <c r="H23" s="38">
        <f t="shared" si="0"/>
        <v>9774.3135820000007</v>
      </c>
      <c r="I23" s="40">
        <v>7757.7859070000004</v>
      </c>
      <c r="J23" s="41"/>
    </row>
    <row r="24" spans="1:10" x14ac:dyDescent="0.5">
      <c r="A24" s="30" t="s">
        <v>22</v>
      </c>
      <c r="B24" s="37">
        <v>42583</v>
      </c>
      <c r="C24" s="37" t="s">
        <v>20</v>
      </c>
      <c r="D24" s="38">
        <v>4160.5652</v>
      </c>
      <c r="E24" s="40">
        <v>3816.1559999999999</v>
      </c>
      <c r="F24" s="40">
        <v>1309.1896939999999</v>
      </c>
      <c r="G24" s="40">
        <f t="shared" si="1"/>
        <v>5125.3456939999996</v>
      </c>
      <c r="H24" s="38">
        <f t="shared" si="0"/>
        <v>9285.9108940000006</v>
      </c>
      <c r="I24" s="40">
        <v>7671.1009160000003</v>
      </c>
      <c r="J24" s="41"/>
    </row>
    <row r="25" spans="1:10" x14ac:dyDescent="0.5">
      <c r="A25" s="30" t="s">
        <v>22</v>
      </c>
      <c r="B25" s="37">
        <v>42614</v>
      </c>
      <c r="C25" s="37" t="s">
        <v>21</v>
      </c>
      <c r="D25" s="38">
        <v>3749.7113999999997</v>
      </c>
      <c r="E25" s="40">
        <v>1441.97</v>
      </c>
      <c r="F25" s="40">
        <v>972.80058499999996</v>
      </c>
      <c r="G25" s="40">
        <f t="shared" si="1"/>
        <v>2414.7705850000002</v>
      </c>
      <c r="H25" s="38">
        <f t="shared" si="0"/>
        <v>6164.4819849999994</v>
      </c>
      <c r="I25" s="40">
        <v>7193.7580969999999</v>
      </c>
      <c r="J25" s="41"/>
    </row>
    <row r="26" spans="1:10" x14ac:dyDescent="0.5">
      <c r="A26" s="30" t="s">
        <v>23</v>
      </c>
      <c r="B26" s="37">
        <v>42644</v>
      </c>
      <c r="C26" s="37" t="s">
        <v>10</v>
      </c>
      <c r="D26" s="38">
        <v>11169.667099999999</v>
      </c>
      <c r="E26" s="40">
        <v>998.08900000000006</v>
      </c>
      <c r="F26" s="40">
        <v>210.13927000000001</v>
      </c>
      <c r="G26" s="40">
        <f t="shared" si="1"/>
        <v>1208.2282700000001</v>
      </c>
      <c r="H26" s="38">
        <f t="shared" si="0"/>
        <v>12377.895369999998</v>
      </c>
      <c r="I26" s="40">
        <v>5213.7220360000001</v>
      </c>
      <c r="J26" s="41"/>
    </row>
    <row r="27" spans="1:10" x14ac:dyDescent="0.5">
      <c r="A27" s="30" t="s">
        <v>23</v>
      </c>
      <c r="B27" s="37">
        <v>42675</v>
      </c>
      <c r="C27" s="37" t="s">
        <v>11</v>
      </c>
      <c r="D27" s="38">
        <v>10363.782999999999</v>
      </c>
      <c r="E27" s="40">
        <v>314.66000000000003</v>
      </c>
      <c r="F27" s="40">
        <v>5.9371600000000004</v>
      </c>
      <c r="G27" s="40">
        <f t="shared" si="1"/>
        <v>320.59716000000003</v>
      </c>
      <c r="H27" s="38">
        <f t="shared" si="0"/>
        <v>10684.380159999999</v>
      </c>
      <c r="I27" s="40">
        <v>7835.4106469999997</v>
      </c>
      <c r="J27" s="41"/>
    </row>
    <row r="28" spans="1:10" x14ac:dyDescent="0.5">
      <c r="A28" s="30" t="s">
        <v>23</v>
      </c>
      <c r="B28" s="37">
        <v>42705</v>
      </c>
      <c r="C28" s="37" t="s">
        <v>12</v>
      </c>
      <c r="D28" s="38">
        <v>7980.1142</v>
      </c>
      <c r="E28" s="40">
        <v>652.72199999999998</v>
      </c>
      <c r="F28" s="40">
        <v>78.2607</v>
      </c>
      <c r="G28" s="40">
        <f t="shared" si="1"/>
        <v>730.98270000000002</v>
      </c>
      <c r="H28" s="38">
        <f t="shared" si="0"/>
        <v>8711.0969000000005</v>
      </c>
      <c r="I28" s="40">
        <v>8996.0809719999997</v>
      </c>
      <c r="J28" s="41"/>
    </row>
    <row r="29" spans="1:10" x14ac:dyDescent="0.5">
      <c r="A29" s="30" t="s">
        <v>23</v>
      </c>
      <c r="B29" s="37">
        <v>42736</v>
      </c>
      <c r="C29" s="37" t="s">
        <v>13</v>
      </c>
      <c r="D29" s="38">
        <v>7015.8137999999999</v>
      </c>
      <c r="E29" s="40">
        <v>911.79700000000003</v>
      </c>
      <c r="F29" s="40">
        <v>87.259659999999997</v>
      </c>
      <c r="G29" s="40">
        <f t="shared" si="1"/>
        <v>999.05665999999997</v>
      </c>
      <c r="H29" s="38">
        <f t="shared" si="0"/>
        <v>8014.8704600000001</v>
      </c>
      <c r="I29" s="40">
        <v>7656.9167909999996</v>
      </c>
      <c r="J29" s="41"/>
    </row>
    <row r="30" spans="1:10" x14ac:dyDescent="0.5">
      <c r="A30" s="30" t="s">
        <v>23</v>
      </c>
      <c r="B30" s="37">
        <v>42767</v>
      </c>
      <c r="C30" s="37" t="s">
        <v>14</v>
      </c>
      <c r="D30" s="38">
        <v>4459.5230000000001</v>
      </c>
      <c r="E30" s="40">
        <v>3509.3820000000001</v>
      </c>
      <c r="F30" s="40">
        <v>24.3369</v>
      </c>
      <c r="G30" s="40">
        <f t="shared" si="1"/>
        <v>3533.7188999999998</v>
      </c>
      <c r="H30" s="38">
        <f t="shared" si="0"/>
        <v>7993.2419000000009</v>
      </c>
      <c r="I30" s="40">
        <v>5537.6950150000002</v>
      </c>
      <c r="J30" s="41"/>
    </row>
    <row r="31" spans="1:10" x14ac:dyDescent="0.5">
      <c r="A31" s="30" t="s">
        <v>23</v>
      </c>
      <c r="B31" s="37">
        <v>42795</v>
      </c>
      <c r="C31" s="37" t="s">
        <v>15</v>
      </c>
      <c r="D31" s="38">
        <v>3219.5651000000003</v>
      </c>
      <c r="E31" s="40">
        <v>8991.1049999999996</v>
      </c>
      <c r="F31" s="40">
        <v>71.788229999999999</v>
      </c>
      <c r="G31" s="40">
        <f t="shared" si="1"/>
        <v>9062.8932299999997</v>
      </c>
      <c r="H31" s="38">
        <f t="shared" si="0"/>
        <v>12282.458329999999</v>
      </c>
      <c r="I31" s="40">
        <v>6326.8369860000003</v>
      </c>
      <c r="J31" s="41"/>
    </row>
    <row r="32" spans="1:10" x14ac:dyDescent="0.5">
      <c r="A32" s="30" t="s">
        <v>23</v>
      </c>
      <c r="B32" s="37">
        <v>42826</v>
      </c>
      <c r="C32" s="37" t="s">
        <v>16</v>
      </c>
      <c r="D32" s="38">
        <v>2458.7142000000003</v>
      </c>
      <c r="E32" s="40">
        <v>10432.121999999999</v>
      </c>
      <c r="F32" s="40">
        <v>846.29147699999999</v>
      </c>
      <c r="G32" s="40">
        <f t="shared" si="1"/>
        <v>11278.413477</v>
      </c>
      <c r="H32" s="38">
        <f t="shared" si="0"/>
        <v>13737.127677</v>
      </c>
      <c r="I32" s="40">
        <v>8013.240374</v>
      </c>
      <c r="J32" s="41"/>
    </row>
    <row r="33" spans="1:10" x14ac:dyDescent="0.5">
      <c r="A33" s="30" t="s">
        <v>23</v>
      </c>
      <c r="B33" s="37">
        <v>42856</v>
      </c>
      <c r="C33" s="37" t="s">
        <v>17</v>
      </c>
      <c r="D33" s="38">
        <v>1450.9294</v>
      </c>
      <c r="E33" s="40">
        <v>10959.868</v>
      </c>
      <c r="F33" s="40">
        <v>1680.322921</v>
      </c>
      <c r="G33" s="40">
        <f t="shared" si="1"/>
        <v>12640.190921000001</v>
      </c>
      <c r="H33" s="38">
        <f t="shared" si="0"/>
        <v>14091.120320999999</v>
      </c>
      <c r="I33" s="40">
        <v>9585.729249</v>
      </c>
      <c r="J33" s="41"/>
    </row>
    <row r="34" spans="1:10" x14ac:dyDescent="0.5">
      <c r="A34" s="30" t="s">
        <v>23</v>
      </c>
      <c r="B34" s="37">
        <v>42887</v>
      </c>
      <c r="C34" s="37" t="s">
        <v>18</v>
      </c>
      <c r="D34" s="38">
        <v>1786.258</v>
      </c>
      <c r="E34" s="40">
        <v>9196.8829999999998</v>
      </c>
      <c r="F34" s="40">
        <v>1461.8776350000001</v>
      </c>
      <c r="G34" s="40">
        <f t="shared" si="1"/>
        <v>10658.760635000001</v>
      </c>
      <c r="H34" s="38">
        <f t="shared" si="0"/>
        <v>12445.018635</v>
      </c>
      <c r="I34" s="40">
        <v>7686.5518869999996</v>
      </c>
      <c r="J34" s="41"/>
    </row>
    <row r="35" spans="1:10" x14ac:dyDescent="0.5">
      <c r="A35" s="30" t="s">
        <v>23</v>
      </c>
      <c r="B35" s="37">
        <v>42917</v>
      </c>
      <c r="C35" s="37" t="s">
        <v>19</v>
      </c>
      <c r="D35" s="38">
        <v>2319.5637000000002</v>
      </c>
      <c r="E35" s="40">
        <v>6954.982</v>
      </c>
      <c r="F35" s="40">
        <v>583.47099500000002</v>
      </c>
      <c r="G35" s="40">
        <f t="shared" si="1"/>
        <v>7538.4529949999996</v>
      </c>
      <c r="H35" s="38">
        <f t="shared" si="0"/>
        <v>9858.0166950000003</v>
      </c>
      <c r="I35" s="40">
        <v>10081.37335</v>
      </c>
      <c r="J35" s="41"/>
    </row>
    <row r="36" spans="1:10" x14ac:dyDescent="0.5">
      <c r="A36" s="30" t="s">
        <v>23</v>
      </c>
      <c r="B36" s="37">
        <v>42948</v>
      </c>
      <c r="C36" s="37" t="s">
        <v>20</v>
      </c>
      <c r="D36" s="38">
        <v>2990.2195999999999</v>
      </c>
      <c r="E36" s="40">
        <v>5959.9350000000004</v>
      </c>
      <c r="F36" s="40">
        <v>885.120046</v>
      </c>
      <c r="G36" s="40">
        <f t="shared" si="1"/>
        <v>6845.0550460000004</v>
      </c>
      <c r="H36" s="38">
        <f t="shared" si="0"/>
        <v>9835.2746459999998</v>
      </c>
      <c r="I36" s="40">
        <v>8449.0858860000008</v>
      </c>
      <c r="J36" s="41"/>
    </row>
    <row r="37" spans="1:10" x14ac:dyDescent="0.5">
      <c r="A37" s="30" t="s">
        <v>23</v>
      </c>
      <c r="B37" s="37">
        <v>42979</v>
      </c>
      <c r="C37" s="37" t="s">
        <v>21</v>
      </c>
      <c r="D37" s="38">
        <v>4504.9764000000005</v>
      </c>
      <c r="E37" s="40">
        <v>4267.9669999999996</v>
      </c>
      <c r="F37" s="40">
        <v>1058.3916409999999</v>
      </c>
      <c r="G37" s="40">
        <f t="shared" si="1"/>
        <v>5326.3586409999998</v>
      </c>
      <c r="H37" s="38">
        <f t="shared" si="0"/>
        <v>9831.3350410000003</v>
      </c>
      <c r="I37" s="40">
        <v>8112.7816009999997</v>
      </c>
      <c r="J37" s="41"/>
    </row>
    <row r="38" spans="1:10" x14ac:dyDescent="0.5">
      <c r="A38" s="30" t="s">
        <v>24</v>
      </c>
      <c r="B38" s="37">
        <v>43009</v>
      </c>
      <c r="C38" s="37" t="s">
        <v>10</v>
      </c>
      <c r="D38" s="38">
        <v>9643.9881000000005</v>
      </c>
      <c r="E38" s="40">
        <v>2486.7150000000001</v>
      </c>
      <c r="F38" s="40">
        <v>480.79296799999997</v>
      </c>
      <c r="G38" s="40">
        <f t="shared" si="1"/>
        <v>2967.5079679999999</v>
      </c>
      <c r="H38" s="38">
        <f t="shared" si="0"/>
        <v>12611.496068</v>
      </c>
      <c r="I38" s="40">
        <v>5854.7468079999999</v>
      </c>
      <c r="J38" s="41"/>
    </row>
    <row r="39" spans="1:10" x14ac:dyDescent="0.5">
      <c r="A39" s="30" t="s">
        <v>24</v>
      </c>
      <c r="B39" s="37">
        <v>43040</v>
      </c>
      <c r="C39" s="37" t="s">
        <v>11</v>
      </c>
      <c r="D39" s="38">
        <v>9188.0439999999999</v>
      </c>
      <c r="E39" s="40">
        <v>2142.6729999999998</v>
      </c>
      <c r="F39" s="40">
        <v>55.161839999999998</v>
      </c>
      <c r="G39" s="40">
        <f t="shared" si="1"/>
        <v>2197.83484</v>
      </c>
      <c r="H39" s="38">
        <f t="shared" si="0"/>
        <v>11385.878840000001</v>
      </c>
      <c r="I39" s="40">
        <v>8682.6950820000002</v>
      </c>
      <c r="J39" s="41"/>
    </row>
    <row r="40" spans="1:10" x14ac:dyDescent="0.5">
      <c r="A40" s="30" t="s">
        <v>24</v>
      </c>
      <c r="B40" s="37">
        <v>43070</v>
      </c>
      <c r="C40" s="37" t="s">
        <v>12</v>
      </c>
      <c r="D40" s="38">
        <v>6224.9060999999992</v>
      </c>
      <c r="E40" s="40">
        <v>2355.3679999999999</v>
      </c>
      <c r="F40" s="40">
        <v>145.15941000000001</v>
      </c>
      <c r="G40" s="40">
        <f t="shared" si="1"/>
        <v>2500.5274100000001</v>
      </c>
      <c r="H40" s="38">
        <f t="shared" si="0"/>
        <v>8725.4335099999989</v>
      </c>
      <c r="I40" s="40">
        <v>9546.6150359999992</v>
      </c>
      <c r="J40" s="41"/>
    </row>
    <row r="41" spans="1:10" x14ac:dyDescent="0.5">
      <c r="A41" s="30" t="s">
        <v>24</v>
      </c>
      <c r="B41" s="37">
        <v>43101</v>
      </c>
      <c r="C41" s="37" t="s">
        <v>13</v>
      </c>
      <c r="D41" s="38">
        <v>5807.2834000000003</v>
      </c>
      <c r="E41" s="40">
        <v>1563.9780000000001</v>
      </c>
      <c r="F41" s="40">
        <v>10.33366</v>
      </c>
      <c r="G41" s="40">
        <f t="shared" si="1"/>
        <v>1574.3116600000001</v>
      </c>
      <c r="H41" s="38">
        <f t="shared" si="0"/>
        <v>7381.5950600000006</v>
      </c>
      <c r="I41" s="40">
        <v>8478.0037639999991</v>
      </c>
      <c r="J41" s="41"/>
    </row>
    <row r="42" spans="1:10" x14ac:dyDescent="0.5">
      <c r="A42" s="30" t="s">
        <v>24</v>
      </c>
      <c r="B42" s="37">
        <v>43132</v>
      </c>
      <c r="C42" s="37" t="s">
        <v>14</v>
      </c>
      <c r="D42" s="38">
        <v>4237.6266999999998</v>
      </c>
      <c r="E42" s="40">
        <v>2864.2510000000002</v>
      </c>
      <c r="F42" s="40">
        <v>6.5961400000000001</v>
      </c>
      <c r="G42" s="40">
        <f t="shared" si="1"/>
        <v>2870.8471400000003</v>
      </c>
      <c r="H42" s="38">
        <f t="shared" si="0"/>
        <v>7108.4738399999997</v>
      </c>
      <c r="I42" s="40">
        <v>5425.9638459999996</v>
      </c>
      <c r="J42" s="41"/>
    </row>
    <row r="43" spans="1:10" x14ac:dyDescent="0.5">
      <c r="A43" s="30" t="s">
        <v>24</v>
      </c>
      <c r="B43" s="37">
        <v>43160</v>
      </c>
      <c r="C43" s="37" t="s">
        <v>15</v>
      </c>
      <c r="D43" s="38">
        <v>3221.5451000000003</v>
      </c>
      <c r="E43" s="40">
        <v>8853.7039999999997</v>
      </c>
      <c r="F43" s="40">
        <v>12.529070000000001</v>
      </c>
      <c r="G43" s="40">
        <f t="shared" si="1"/>
        <v>8866.2330700000002</v>
      </c>
      <c r="H43" s="38">
        <f t="shared" si="0"/>
        <v>12087.778170000001</v>
      </c>
      <c r="I43" s="40">
        <v>5663.8414359999997</v>
      </c>
      <c r="J43" s="41"/>
    </row>
    <row r="44" spans="1:10" x14ac:dyDescent="0.5">
      <c r="A44" s="30" t="s">
        <v>24</v>
      </c>
      <c r="B44" s="37">
        <v>43191</v>
      </c>
      <c r="C44" s="37" t="s">
        <v>16</v>
      </c>
      <c r="D44" s="38">
        <v>2194.4447</v>
      </c>
      <c r="E44" s="40">
        <v>10258.645</v>
      </c>
      <c r="F44" s="40">
        <v>188.11958999999999</v>
      </c>
      <c r="G44" s="40">
        <f t="shared" si="1"/>
        <v>10446.764590000001</v>
      </c>
      <c r="H44" s="38">
        <f t="shared" si="0"/>
        <v>12641.209290000001</v>
      </c>
      <c r="I44" s="40">
        <v>6920.9139690000002</v>
      </c>
      <c r="J44" s="41"/>
    </row>
    <row r="45" spans="1:10" x14ac:dyDescent="0.5">
      <c r="A45" s="30" t="s">
        <v>24</v>
      </c>
      <c r="B45" s="37">
        <v>43221</v>
      </c>
      <c r="C45" s="37" t="s">
        <v>17</v>
      </c>
      <c r="D45" s="38">
        <v>3110.4942999999998</v>
      </c>
      <c r="E45" s="40">
        <v>12353.189</v>
      </c>
      <c r="F45" s="40">
        <v>471.77947</v>
      </c>
      <c r="G45" s="40">
        <f t="shared" si="1"/>
        <v>12824.96847</v>
      </c>
      <c r="H45" s="38">
        <f t="shared" si="0"/>
        <v>15935.46277</v>
      </c>
      <c r="I45" s="40">
        <v>9687.5535619999991</v>
      </c>
      <c r="J45" s="41"/>
    </row>
    <row r="46" spans="1:10" x14ac:dyDescent="0.5">
      <c r="A46" s="30" t="s">
        <v>24</v>
      </c>
      <c r="B46" s="37">
        <v>43252</v>
      </c>
      <c r="C46" s="37" t="s">
        <v>18</v>
      </c>
      <c r="D46" s="38">
        <v>3123.0892999999996</v>
      </c>
      <c r="E46" s="40">
        <v>10420.128000000001</v>
      </c>
      <c r="F46" s="40">
        <v>559.398595</v>
      </c>
      <c r="G46" s="40">
        <f t="shared" si="1"/>
        <v>10979.526595000001</v>
      </c>
      <c r="H46" s="38">
        <f t="shared" si="0"/>
        <v>14102.615895000001</v>
      </c>
      <c r="I46" s="40">
        <v>8698.7162210000006</v>
      </c>
      <c r="J46" s="41"/>
    </row>
    <row r="47" spans="1:10" x14ac:dyDescent="0.5">
      <c r="A47" s="30" t="s">
        <v>24</v>
      </c>
      <c r="B47" s="37">
        <v>43282</v>
      </c>
      <c r="C47" s="37" t="s">
        <v>19</v>
      </c>
      <c r="D47" s="38">
        <v>3425.2962000000002</v>
      </c>
      <c r="E47" s="40">
        <v>10198.696</v>
      </c>
      <c r="F47" s="40">
        <v>45.74615</v>
      </c>
      <c r="G47" s="40">
        <f t="shared" si="1"/>
        <v>10244.442150000001</v>
      </c>
      <c r="H47" s="38">
        <f t="shared" si="0"/>
        <v>13669.738350000001</v>
      </c>
      <c r="I47" s="40">
        <v>7974.0653849999999</v>
      </c>
      <c r="J47" s="41"/>
    </row>
    <row r="48" spans="1:10" x14ac:dyDescent="0.5">
      <c r="A48" s="30" t="s">
        <v>24</v>
      </c>
      <c r="B48" s="37">
        <v>43313</v>
      </c>
      <c r="C48" s="37" t="s">
        <v>20</v>
      </c>
      <c r="D48" s="38">
        <v>3388.9486000000002</v>
      </c>
      <c r="E48" s="40">
        <v>8114.53</v>
      </c>
      <c r="F48" s="40">
        <v>13.304785000000001</v>
      </c>
      <c r="G48" s="40">
        <f t="shared" si="1"/>
        <v>8127.834785</v>
      </c>
      <c r="H48" s="38">
        <f t="shared" si="0"/>
        <v>11516.783385000001</v>
      </c>
      <c r="I48" s="40">
        <v>9150.1838320000006</v>
      </c>
      <c r="J48" s="41"/>
    </row>
    <row r="49" spans="1:10" x14ac:dyDescent="0.5">
      <c r="A49" s="30" t="s">
        <v>24</v>
      </c>
      <c r="B49" s="37">
        <v>43344</v>
      </c>
      <c r="C49" s="37" t="s">
        <v>21</v>
      </c>
      <c r="D49" s="38">
        <v>3335.4227999999998</v>
      </c>
      <c r="E49" s="40">
        <v>4557.03</v>
      </c>
      <c r="F49" s="40">
        <v>121.206495</v>
      </c>
      <c r="G49" s="40">
        <f t="shared" si="1"/>
        <v>4678.2364950000001</v>
      </c>
      <c r="H49" s="38">
        <f t="shared" si="0"/>
        <v>8013.6592949999995</v>
      </c>
      <c r="I49" s="40">
        <v>8009.6095439999999</v>
      </c>
      <c r="J49" s="41"/>
    </row>
    <row r="50" spans="1:10" x14ac:dyDescent="0.5">
      <c r="A50" s="30" t="s">
        <v>25</v>
      </c>
      <c r="B50" s="37">
        <v>43374</v>
      </c>
      <c r="C50" s="37" t="s">
        <v>10</v>
      </c>
      <c r="D50" s="38">
        <v>5457.5376999999999</v>
      </c>
      <c r="E50" s="40">
        <v>5214.2020000000002</v>
      </c>
      <c r="F50" s="40">
        <v>447.06437</v>
      </c>
      <c r="G50" s="40">
        <f t="shared" si="1"/>
        <v>5661.2663700000003</v>
      </c>
      <c r="H50" s="38">
        <f t="shared" si="0"/>
        <v>11118.80407</v>
      </c>
      <c r="I50" s="40">
        <v>6921.0739839999997</v>
      </c>
      <c r="J50" s="41"/>
    </row>
    <row r="51" spans="1:10" x14ac:dyDescent="0.5">
      <c r="A51" s="30" t="s">
        <v>25</v>
      </c>
      <c r="B51" s="37">
        <v>43405</v>
      </c>
      <c r="C51" s="37" t="s">
        <v>11</v>
      </c>
      <c r="D51" s="38">
        <v>4878.6988000000001</v>
      </c>
      <c r="E51" s="40">
        <v>4814.0439999999999</v>
      </c>
      <c r="F51" s="40">
        <v>922.60432300000002</v>
      </c>
      <c r="G51" s="40">
        <f t="shared" si="1"/>
        <v>5736.6483229999994</v>
      </c>
      <c r="H51" s="38">
        <f t="shared" si="0"/>
        <v>10615.347123</v>
      </c>
      <c r="I51" s="40">
        <v>5383.608776</v>
      </c>
      <c r="J51" s="41"/>
    </row>
    <row r="52" spans="1:10" x14ac:dyDescent="0.5">
      <c r="A52" s="30" t="s">
        <v>25</v>
      </c>
      <c r="B52" s="37">
        <v>43435</v>
      </c>
      <c r="C52" s="37" t="s">
        <v>12</v>
      </c>
      <c r="D52" s="38">
        <v>4002.4757999999997</v>
      </c>
      <c r="E52" s="40">
        <v>4070.4349999999999</v>
      </c>
      <c r="F52" s="40">
        <v>872.22091</v>
      </c>
      <c r="G52" s="40">
        <f t="shared" si="1"/>
        <v>4942.6559099999995</v>
      </c>
      <c r="H52" s="38">
        <f t="shared" si="0"/>
        <v>8945.1317099999997</v>
      </c>
      <c r="I52" s="40">
        <v>5723.479824</v>
      </c>
      <c r="J52" s="41"/>
    </row>
    <row r="53" spans="1:10" x14ac:dyDescent="0.5">
      <c r="A53" s="30" t="s">
        <v>25</v>
      </c>
      <c r="B53" s="37">
        <v>43466</v>
      </c>
      <c r="C53" s="37" t="s">
        <v>13</v>
      </c>
      <c r="D53" s="38">
        <v>4807.8480999999992</v>
      </c>
      <c r="E53" s="40">
        <v>2033.94</v>
      </c>
      <c r="F53" s="40">
        <v>140.943365</v>
      </c>
      <c r="G53" s="40">
        <f t="shared" si="1"/>
        <v>2174.8833650000001</v>
      </c>
      <c r="H53" s="38">
        <f t="shared" si="0"/>
        <v>6982.7314649999998</v>
      </c>
      <c r="I53" s="40">
        <v>7376.3443509999997</v>
      </c>
      <c r="J53" s="41"/>
    </row>
    <row r="54" spans="1:10" x14ac:dyDescent="0.5">
      <c r="A54" s="30" t="s">
        <v>25</v>
      </c>
      <c r="B54" s="37">
        <v>43497</v>
      </c>
      <c r="C54" s="37" t="s">
        <v>14</v>
      </c>
      <c r="D54" s="38">
        <v>4522.8804</v>
      </c>
      <c r="E54" s="40">
        <v>5267.152</v>
      </c>
      <c r="F54" s="40">
        <v>2.8823099999999999</v>
      </c>
      <c r="G54" s="40">
        <f t="shared" si="1"/>
        <v>5270.03431</v>
      </c>
      <c r="H54" s="38">
        <f t="shared" si="0"/>
        <v>9792.9147100000009</v>
      </c>
      <c r="I54" s="40">
        <v>4456.019397</v>
      </c>
      <c r="J54" s="41"/>
    </row>
    <row r="55" spans="1:10" x14ac:dyDescent="0.5">
      <c r="A55" s="30" t="s">
        <v>25</v>
      </c>
      <c r="B55" s="37">
        <v>43525</v>
      </c>
      <c r="C55" s="37" t="s">
        <v>15</v>
      </c>
      <c r="D55" s="38">
        <v>3839.0864999999999</v>
      </c>
      <c r="E55" s="40">
        <v>8455.8559999999998</v>
      </c>
      <c r="F55" s="40">
        <v>32.638689999999997</v>
      </c>
      <c r="G55" s="40">
        <f t="shared" si="1"/>
        <v>8488.4946899999995</v>
      </c>
      <c r="H55" s="38">
        <f t="shared" si="0"/>
        <v>12327.581189999999</v>
      </c>
      <c r="I55" s="40">
        <v>4916.000086</v>
      </c>
      <c r="J55" s="41"/>
    </row>
    <row r="56" spans="1:10" x14ac:dyDescent="0.5">
      <c r="A56" s="30" t="s">
        <v>25</v>
      </c>
      <c r="B56" s="37">
        <v>43556</v>
      </c>
      <c r="C56" s="37" t="s">
        <v>16</v>
      </c>
      <c r="D56" s="38">
        <v>2482.2914000000001</v>
      </c>
      <c r="E56" s="40">
        <v>9402.9449999999997</v>
      </c>
      <c r="F56" s="40">
        <v>390.46620899999999</v>
      </c>
      <c r="G56" s="40">
        <f t="shared" si="1"/>
        <v>9793.4112089999999</v>
      </c>
      <c r="H56" s="38">
        <f t="shared" si="0"/>
        <v>12275.702609</v>
      </c>
      <c r="I56" s="40">
        <v>7640.2216959999996</v>
      </c>
      <c r="J56" s="41"/>
    </row>
    <row r="57" spans="1:10" x14ac:dyDescent="0.5">
      <c r="A57" s="30" t="s">
        <v>25</v>
      </c>
      <c r="B57" s="37">
        <v>43586</v>
      </c>
      <c r="C57" s="37" t="s">
        <v>17</v>
      </c>
      <c r="D57" s="38">
        <v>2477.1792</v>
      </c>
      <c r="E57" s="40">
        <v>10012.706</v>
      </c>
      <c r="F57" s="40">
        <v>1850.5381950000001</v>
      </c>
      <c r="G57" s="40">
        <f t="shared" si="1"/>
        <v>11863.244194999999</v>
      </c>
      <c r="H57" s="38">
        <f t="shared" si="0"/>
        <v>14340.423395000002</v>
      </c>
      <c r="I57" s="40">
        <v>7341.7967449999996</v>
      </c>
      <c r="J57" s="41"/>
    </row>
    <row r="58" spans="1:10" x14ac:dyDescent="0.5">
      <c r="A58" s="30" t="s">
        <v>25</v>
      </c>
      <c r="B58" s="37">
        <v>43617</v>
      </c>
      <c r="C58" s="37" t="s">
        <v>18</v>
      </c>
      <c r="D58" s="38">
        <v>3271.6122</v>
      </c>
      <c r="E58" s="40">
        <v>8552.3269999999993</v>
      </c>
      <c r="F58" s="40">
        <v>489.93431500000003</v>
      </c>
      <c r="G58" s="40">
        <f t="shared" si="1"/>
        <v>9042.2613149999997</v>
      </c>
      <c r="H58" s="38">
        <f t="shared" si="0"/>
        <v>12313.873514999999</v>
      </c>
      <c r="I58" s="40">
        <v>6462.081674</v>
      </c>
      <c r="J58" s="41"/>
    </row>
    <row r="59" spans="1:10" x14ac:dyDescent="0.5">
      <c r="A59" s="30" t="s">
        <v>25</v>
      </c>
      <c r="B59" s="37">
        <v>43647</v>
      </c>
      <c r="C59" s="37" t="s">
        <v>19</v>
      </c>
      <c r="D59" s="38">
        <v>3701.9041000000002</v>
      </c>
      <c r="E59" s="40">
        <v>7443.6030000000001</v>
      </c>
      <c r="F59" s="40">
        <v>1351.4908780000001</v>
      </c>
      <c r="G59" s="40">
        <f t="shared" si="1"/>
        <v>8795.0938779999997</v>
      </c>
      <c r="H59" s="38">
        <f t="shared" si="0"/>
        <v>12496.997978000001</v>
      </c>
      <c r="I59" s="40">
        <v>8640.8574590000007</v>
      </c>
      <c r="J59" s="41"/>
    </row>
    <row r="60" spans="1:10" x14ac:dyDescent="0.5">
      <c r="A60" s="30" t="s">
        <v>25</v>
      </c>
      <c r="B60" s="37">
        <v>43678</v>
      </c>
      <c r="C60" s="37" t="s">
        <v>20</v>
      </c>
      <c r="D60" s="38">
        <v>4943.6106</v>
      </c>
      <c r="E60" s="40">
        <v>5001.3540000000003</v>
      </c>
      <c r="F60" s="40">
        <v>978.25813000000005</v>
      </c>
      <c r="G60" s="40">
        <f t="shared" si="1"/>
        <v>5979.6121300000004</v>
      </c>
      <c r="H60" s="38">
        <f t="shared" si="0"/>
        <v>10923.22273</v>
      </c>
      <c r="I60" s="40">
        <v>9480.2360520000002</v>
      </c>
      <c r="J60" s="41"/>
    </row>
    <row r="61" spans="1:10" x14ac:dyDescent="0.5">
      <c r="A61" s="30" t="s">
        <v>25</v>
      </c>
      <c r="B61" s="37">
        <v>43709</v>
      </c>
      <c r="C61" s="37" t="s">
        <v>21</v>
      </c>
      <c r="D61" s="38">
        <v>3912.1448999999998</v>
      </c>
      <c r="E61" s="40">
        <v>4603.6959999999999</v>
      </c>
      <c r="F61" s="40">
        <v>1600.696737</v>
      </c>
      <c r="G61" s="40">
        <f t="shared" si="1"/>
        <v>6204.3927370000001</v>
      </c>
      <c r="H61" s="38">
        <f t="shared" si="0"/>
        <v>10116.537636999999</v>
      </c>
      <c r="I61" s="40">
        <v>8194.7937980000006</v>
      </c>
      <c r="J61" s="41"/>
    </row>
    <row r="62" spans="1:10" x14ac:dyDescent="0.5">
      <c r="A62" s="30" t="s">
        <v>26</v>
      </c>
      <c r="B62" s="37">
        <v>43739</v>
      </c>
      <c r="C62" s="37" t="s">
        <v>10</v>
      </c>
      <c r="D62" s="38">
        <v>5894.0892000000003</v>
      </c>
      <c r="E62" s="40">
        <v>5076.1689999999999</v>
      </c>
      <c r="F62" s="40">
        <v>1553.7943399999999</v>
      </c>
      <c r="G62" s="40">
        <f t="shared" si="1"/>
        <v>6629.9633400000002</v>
      </c>
      <c r="H62" s="38">
        <f t="shared" si="0"/>
        <v>12524.052540000001</v>
      </c>
      <c r="I62" s="40">
        <v>6181.0228639999996</v>
      </c>
      <c r="J62" s="41"/>
    </row>
    <row r="63" spans="1:10" x14ac:dyDescent="0.5">
      <c r="A63" s="30" t="s">
        <v>26</v>
      </c>
      <c r="B63" s="37">
        <v>43770</v>
      </c>
      <c r="C63" s="37" t="s">
        <v>11</v>
      </c>
      <c r="D63" s="38">
        <v>6834.2642999999998</v>
      </c>
      <c r="E63" s="40">
        <v>4940.0290000000005</v>
      </c>
      <c r="F63" s="40">
        <v>1412.835675</v>
      </c>
      <c r="G63" s="40">
        <f t="shared" si="1"/>
        <v>6352.8646750000007</v>
      </c>
      <c r="H63" s="38">
        <f t="shared" si="0"/>
        <v>13187.128975000001</v>
      </c>
      <c r="I63" s="40">
        <v>8281.1352210000005</v>
      </c>
      <c r="J63" s="41"/>
    </row>
    <row r="64" spans="1:10" x14ac:dyDescent="0.5">
      <c r="A64" s="30" t="s">
        <v>26</v>
      </c>
      <c r="B64" s="37">
        <v>43800</v>
      </c>
      <c r="C64" s="37" t="s">
        <v>12</v>
      </c>
      <c r="D64" s="38">
        <v>5669.9890999999998</v>
      </c>
      <c r="E64" s="40">
        <v>3269.1869999999999</v>
      </c>
      <c r="F64" s="40">
        <v>413.73878000000002</v>
      </c>
      <c r="G64" s="40">
        <f t="shared" si="1"/>
        <v>3682.92578</v>
      </c>
      <c r="H64" s="38">
        <f t="shared" si="0"/>
        <v>9352.9148800000003</v>
      </c>
      <c r="I64" s="40">
        <v>9542.3012550000003</v>
      </c>
      <c r="J64" s="41"/>
    </row>
    <row r="65" spans="1:10" x14ac:dyDescent="0.5">
      <c r="A65" s="30" t="s">
        <v>26</v>
      </c>
      <c r="B65" s="37">
        <v>43831</v>
      </c>
      <c r="C65" s="37" t="s">
        <v>13</v>
      </c>
      <c r="D65" s="38">
        <v>5182.3667000000005</v>
      </c>
      <c r="E65" s="40">
        <v>1396.96</v>
      </c>
      <c r="F65" s="40">
        <v>158.04571000000001</v>
      </c>
      <c r="G65" s="40">
        <f t="shared" si="1"/>
        <v>1555.0057100000001</v>
      </c>
      <c r="H65" s="38">
        <f t="shared" si="0"/>
        <v>6737.3724100000009</v>
      </c>
      <c r="I65" s="40">
        <v>8008.4145580000004</v>
      </c>
      <c r="J65" s="41"/>
    </row>
    <row r="66" spans="1:10" x14ac:dyDescent="0.5">
      <c r="A66" s="30" t="s">
        <v>26</v>
      </c>
      <c r="B66" s="37">
        <v>43862</v>
      </c>
      <c r="C66" s="37" t="s">
        <v>14</v>
      </c>
      <c r="D66" s="38">
        <v>2930.6907999999999</v>
      </c>
      <c r="E66" s="40">
        <v>4834.0609999999997</v>
      </c>
      <c r="F66" s="40">
        <v>21.332252</v>
      </c>
      <c r="G66" s="40">
        <f t="shared" si="1"/>
        <v>4855.3932519999998</v>
      </c>
      <c r="H66" s="38">
        <f t="shared" ref="H66:H129" si="2">SUM(D66:F66)</f>
        <v>7786.0840520000002</v>
      </c>
      <c r="I66" s="40">
        <v>5504.3444920000002</v>
      </c>
      <c r="J66" s="41"/>
    </row>
    <row r="67" spans="1:10" x14ac:dyDescent="0.5">
      <c r="A67" s="30" t="s">
        <v>26</v>
      </c>
      <c r="B67" s="37">
        <v>43891</v>
      </c>
      <c r="C67" s="37" t="s">
        <v>15</v>
      </c>
      <c r="D67" s="38">
        <v>2475.2678999999998</v>
      </c>
      <c r="E67" s="40">
        <v>10853.99</v>
      </c>
      <c r="F67" s="40">
        <v>14.697789999999999</v>
      </c>
      <c r="G67" s="40">
        <f t="shared" ref="G67:G130" si="3">E67+F67</f>
        <v>10868.68779</v>
      </c>
      <c r="H67" s="38">
        <f t="shared" si="2"/>
        <v>13343.955690000001</v>
      </c>
      <c r="I67" s="40">
        <v>4277.9327469999998</v>
      </c>
      <c r="J67" s="41"/>
    </row>
    <row r="68" spans="1:10" x14ac:dyDescent="0.5">
      <c r="A68" s="30" t="s">
        <v>26</v>
      </c>
      <c r="B68" s="37">
        <v>43922</v>
      </c>
      <c r="C68" s="37" t="s">
        <v>16</v>
      </c>
      <c r="D68" s="38">
        <v>2222.2242999999999</v>
      </c>
      <c r="E68" s="40">
        <v>14855.315000000001</v>
      </c>
      <c r="F68" s="40">
        <v>689.55374600000005</v>
      </c>
      <c r="G68" s="40">
        <f t="shared" si="3"/>
        <v>15544.868746</v>
      </c>
      <c r="H68" s="38">
        <f t="shared" si="2"/>
        <v>17767.093046000002</v>
      </c>
      <c r="I68" s="40">
        <v>6715.019155</v>
      </c>
      <c r="J68" s="41"/>
    </row>
    <row r="69" spans="1:10" x14ac:dyDescent="0.5">
      <c r="A69" s="30" t="s">
        <v>26</v>
      </c>
      <c r="B69" s="37">
        <v>43952</v>
      </c>
      <c r="C69" s="37" t="s">
        <v>17</v>
      </c>
      <c r="D69" s="38">
        <v>1929.4571000000001</v>
      </c>
      <c r="E69" s="40">
        <v>14108.753000000001</v>
      </c>
      <c r="F69" s="40">
        <v>2173.4882859999998</v>
      </c>
      <c r="G69" s="40">
        <f t="shared" si="3"/>
        <v>16282.241286</v>
      </c>
      <c r="H69" s="38">
        <f t="shared" si="2"/>
        <v>18211.698386</v>
      </c>
      <c r="I69" s="40">
        <v>9376.7200659999999</v>
      </c>
      <c r="J69" s="41"/>
    </row>
    <row r="70" spans="1:10" x14ac:dyDescent="0.5">
      <c r="A70" s="30" t="s">
        <v>26</v>
      </c>
      <c r="B70" s="37">
        <v>43983</v>
      </c>
      <c r="C70" s="37" t="s">
        <v>18</v>
      </c>
      <c r="D70" s="38">
        <v>1779.9788999999998</v>
      </c>
      <c r="E70" s="40">
        <v>12741.829</v>
      </c>
      <c r="F70" s="40">
        <v>1329.8334829999999</v>
      </c>
      <c r="G70" s="40">
        <f t="shared" si="3"/>
        <v>14071.662483</v>
      </c>
      <c r="H70" s="38">
        <f t="shared" si="2"/>
        <v>15851.641383</v>
      </c>
      <c r="I70" s="40">
        <v>11159.078062000001</v>
      </c>
      <c r="J70" s="41"/>
    </row>
    <row r="71" spans="1:10" x14ac:dyDescent="0.5">
      <c r="A71" s="30" t="s">
        <v>26</v>
      </c>
      <c r="B71" s="37">
        <v>44013</v>
      </c>
      <c r="C71" s="37" t="s">
        <v>19</v>
      </c>
      <c r="D71" s="38">
        <v>2305.1202000000003</v>
      </c>
      <c r="E71" s="40">
        <v>9954.7559999999994</v>
      </c>
      <c r="F71" s="40">
        <v>1060.7955460000001</v>
      </c>
      <c r="G71" s="40">
        <f t="shared" si="3"/>
        <v>11015.551545999999</v>
      </c>
      <c r="H71" s="38">
        <f t="shared" si="2"/>
        <v>13320.671745999998</v>
      </c>
      <c r="I71" s="40">
        <v>10092.972884000001</v>
      </c>
      <c r="J71" s="41"/>
    </row>
    <row r="72" spans="1:10" x14ac:dyDescent="0.5">
      <c r="A72" s="30" t="s">
        <v>26</v>
      </c>
      <c r="B72" s="37">
        <v>44044</v>
      </c>
      <c r="C72" s="37" t="s">
        <v>20</v>
      </c>
      <c r="D72" s="38">
        <v>4664.7630999999992</v>
      </c>
      <c r="E72" s="40">
        <v>5833.0690000000004</v>
      </c>
      <c r="F72" s="40">
        <v>984.558356</v>
      </c>
      <c r="G72" s="40">
        <f t="shared" si="3"/>
        <v>6817.6273560000009</v>
      </c>
      <c r="H72" s="38">
        <f t="shared" si="2"/>
        <v>11482.390455999999</v>
      </c>
      <c r="I72" s="40">
        <v>9604.9389429999992</v>
      </c>
      <c r="J72" s="41"/>
    </row>
    <row r="73" spans="1:10" x14ac:dyDescent="0.5">
      <c r="A73" s="30" t="s">
        <v>26</v>
      </c>
      <c r="B73" s="37">
        <v>44075</v>
      </c>
      <c r="C73" s="37" t="s">
        <v>21</v>
      </c>
      <c r="D73" s="38">
        <v>7192.1284000000005</v>
      </c>
      <c r="E73" s="40">
        <v>4258.9690000000001</v>
      </c>
      <c r="F73" s="40">
        <v>170.458406</v>
      </c>
      <c r="G73" s="40">
        <f t="shared" si="3"/>
        <v>4429.4274059999998</v>
      </c>
      <c r="H73" s="38">
        <f t="shared" si="2"/>
        <v>11621.555806</v>
      </c>
      <c r="I73" s="40">
        <v>9788.5322940000005</v>
      </c>
      <c r="J73" s="41"/>
    </row>
    <row r="74" spans="1:10" x14ac:dyDescent="0.5">
      <c r="A74" s="30" t="s">
        <v>27</v>
      </c>
      <c r="B74" s="37">
        <v>44105</v>
      </c>
      <c r="C74" s="37" t="s">
        <v>10</v>
      </c>
      <c r="D74" s="38">
        <v>11588.9954</v>
      </c>
      <c r="E74" s="39">
        <v>2421.9639999999999</v>
      </c>
      <c r="F74" s="39">
        <v>161.71303499999999</v>
      </c>
      <c r="G74" s="40">
        <f t="shared" si="3"/>
        <v>2583.6770349999997</v>
      </c>
      <c r="H74" s="38">
        <f t="shared" si="2"/>
        <v>14172.672435</v>
      </c>
      <c r="I74" s="47">
        <v>8678.7322989999993</v>
      </c>
      <c r="J74" s="41"/>
    </row>
    <row r="75" spans="1:10" x14ac:dyDescent="0.5">
      <c r="A75" s="30" t="s">
        <v>27</v>
      </c>
      <c r="B75" s="37">
        <v>44136</v>
      </c>
      <c r="C75" s="37" t="s">
        <v>11</v>
      </c>
      <c r="D75" s="38">
        <v>10861.9586</v>
      </c>
      <c r="E75" s="39">
        <v>1435.278</v>
      </c>
      <c r="F75" s="39">
        <v>18.617290000000001</v>
      </c>
      <c r="G75" s="40">
        <f t="shared" si="3"/>
        <v>1453.8952899999999</v>
      </c>
      <c r="H75" s="38">
        <f t="shared" si="2"/>
        <v>12315.85389</v>
      </c>
      <c r="I75" s="47">
        <v>9585.1246150000006</v>
      </c>
      <c r="J75" s="41"/>
    </row>
    <row r="76" spans="1:10" x14ac:dyDescent="0.5">
      <c r="A76" s="30" t="s">
        <v>27</v>
      </c>
      <c r="B76" s="37">
        <v>44166</v>
      </c>
      <c r="C76" s="37" t="s">
        <v>12</v>
      </c>
      <c r="D76" s="38">
        <v>10517.316500000001</v>
      </c>
      <c r="E76" s="39">
        <v>274.053</v>
      </c>
      <c r="F76" s="39">
        <v>12.64034</v>
      </c>
      <c r="G76" s="40">
        <f t="shared" si="3"/>
        <v>286.69333999999998</v>
      </c>
      <c r="H76" s="38">
        <f t="shared" si="2"/>
        <v>10804.009840000001</v>
      </c>
      <c r="I76" s="47">
        <v>7522.7010909999999</v>
      </c>
      <c r="J76" s="41"/>
    </row>
    <row r="77" spans="1:10" x14ac:dyDescent="0.5">
      <c r="A77" s="30" t="s">
        <v>27</v>
      </c>
      <c r="B77" s="37">
        <v>44197</v>
      </c>
      <c r="C77" s="37" t="s">
        <v>13</v>
      </c>
      <c r="D77" s="38">
        <v>9030.5053000000007</v>
      </c>
      <c r="E77" s="39">
        <v>49.494</v>
      </c>
      <c r="F77" s="39">
        <v>11.107239999999999</v>
      </c>
      <c r="G77" s="40">
        <f t="shared" si="3"/>
        <v>60.601239999999997</v>
      </c>
      <c r="H77" s="38">
        <f t="shared" si="2"/>
        <v>9091.1065400000007</v>
      </c>
      <c r="I77" s="47">
        <v>7826.2213019999999</v>
      </c>
      <c r="J77" s="41"/>
    </row>
    <row r="78" spans="1:10" x14ac:dyDescent="0.5">
      <c r="A78" s="30" t="s">
        <v>27</v>
      </c>
      <c r="B78" s="37">
        <v>44228</v>
      </c>
      <c r="C78" s="37" t="s">
        <v>14</v>
      </c>
      <c r="D78" s="38">
        <v>4481.2440999999999</v>
      </c>
      <c r="E78" s="39">
        <v>2645.6689999999999</v>
      </c>
      <c r="F78" s="39">
        <v>11.05199</v>
      </c>
      <c r="G78" s="40">
        <f t="shared" si="3"/>
        <v>2656.7209899999998</v>
      </c>
      <c r="H78" s="38">
        <f t="shared" si="2"/>
        <v>7137.9650899999997</v>
      </c>
      <c r="I78" s="47">
        <v>5535.6222230000003</v>
      </c>
      <c r="J78" s="41"/>
    </row>
    <row r="79" spans="1:10" x14ac:dyDescent="0.5">
      <c r="A79" s="30" t="s">
        <v>27</v>
      </c>
      <c r="B79" s="37">
        <v>44256</v>
      </c>
      <c r="C79" s="37" t="s">
        <v>15</v>
      </c>
      <c r="D79" s="38">
        <v>2263.5888</v>
      </c>
      <c r="E79" s="39">
        <v>12694.341</v>
      </c>
      <c r="F79" s="39">
        <v>15.68027</v>
      </c>
      <c r="G79" s="40">
        <f t="shared" si="3"/>
        <v>12710.021270000001</v>
      </c>
      <c r="H79" s="38">
        <f t="shared" si="2"/>
        <v>14973.610070000001</v>
      </c>
      <c r="I79" s="47">
        <v>7711.1446459999997</v>
      </c>
      <c r="J79" s="41"/>
    </row>
    <row r="80" spans="1:10" x14ac:dyDescent="0.5">
      <c r="A80" s="30" t="s">
        <v>27</v>
      </c>
      <c r="B80" s="37">
        <v>44287</v>
      </c>
      <c r="C80" s="37" t="s">
        <v>16</v>
      </c>
      <c r="D80" s="38">
        <v>1357.1922</v>
      </c>
      <c r="E80" s="39">
        <v>16115.651</v>
      </c>
      <c r="F80" s="39">
        <v>441.35638</v>
      </c>
      <c r="G80" s="40">
        <f t="shared" si="3"/>
        <v>16557.007379999999</v>
      </c>
      <c r="H80" s="38">
        <f t="shared" si="2"/>
        <v>17914.19958</v>
      </c>
      <c r="I80" s="47">
        <v>7446.6219799999999</v>
      </c>
      <c r="J80" s="41"/>
    </row>
    <row r="81" spans="1:10" x14ac:dyDescent="0.5">
      <c r="A81" s="30" t="s">
        <v>27</v>
      </c>
      <c r="B81" s="37">
        <v>44317</v>
      </c>
      <c r="C81" s="37" t="s">
        <v>17</v>
      </c>
      <c r="D81" s="38">
        <v>1338.4090000000001</v>
      </c>
      <c r="E81" s="39">
        <v>14964.339</v>
      </c>
      <c r="F81" s="39">
        <v>883.36593600000003</v>
      </c>
      <c r="G81" s="40">
        <f t="shared" si="3"/>
        <v>15847.704936</v>
      </c>
      <c r="H81" s="38">
        <f t="shared" si="2"/>
        <v>17186.113935999998</v>
      </c>
      <c r="I81" s="47">
        <v>9607.4537469999996</v>
      </c>
      <c r="J81" s="41"/>
    </row>
    <row r="82" spans="1:10" x14ac:dyDescent="0.5">
      <c r="A82" s="30" t="s">
        <v>27</v>
      </c>
      <c r="B82" s="37">
        <v>44348</v>
      </c>
      <c r="C82" s="37" t="s">
        <v>18</v>
      </c>
      <c r="D82" s="38">
        <v>924.72950000000003</v>
      </c>
      <c r="E82" s="39">
        <v>11067.263000000001</v>
      </c>
      <c r="F82" s="39">
        <v>516.18440500000008</v>
      </c>
      <c r="G82" s="40">
        <f t="shared" si="3"/>
        <v>11583.447405000001</v>
      </c>
      <c r="H82" s="38">
        <f t="shared" si="2"/>
        <v>12508.176905</v>
      </c>
      <c r="I82" s="47">
        <v>10661.694409</v>
      </c>
      <c r="J82" s="41"/>
    </row>
    <row r="83" spans="1:10" x14ac:dyDescent="0.5">
      <c r="A83" s="30" t="s">
        <v>27</v>
      </c>
      <c r="B83" s="37">
        <v>44378</v>
      </c>
      <c r="C83" s="37" t="s">
        <v>19</v>
      </c>
      <c r="D83" s="38">
        <v>947.77419999999995</v>
      </c>
      <c r="E83" s="39">
        <v>8668.6239999999998</v>
      </c>
      <c r="F83" s="39">
        <v>796.64685999999995</v>
      </c>
      <c r="G83" s="40">
        <f t="shared" si="3"/>
        <v>9465.2708600000005</v>
      </c>
      <c r="H83" s="38">
        <f t="shared" si="2"/>
        <v>10413.04506</v>
      </c>
      <c r="I83" s="47">
        <v>8672.3641179999995</v>
      </c>
      <c r="J83" s="41"/>
    </row>
    <row r="84" spans="1:10" x14ac:dyDescent="0.5">
      <c r="A84" s="30" t="s">
        <v>27</v>
      </c>
      <c r="B84" s="37">
        <v>44409</v>
      </c>
      <c r="C84" s="37" t="s">
        <v>20</v>
      </c>
      <c r="D84" s="38">
        <v>1160.0916999999999</v>
      </c>
      <c r="E84" s="39">
        <v>6480.2510000000002</v>
      </c>
      <c r="F84" s="39">
        <v>1465.9768100000001</v>
      </c>
      <c r="G84" s="40">
        <f t="shared" si="3"/>
        <v>7946.2278100000003</v>
      </c>
      <c r="H84" s="38">
        <f t="shared" si="2"/>
        <v>9106.3195100000012</v>
      </c>
      <c r="I84" s="47">
        <v>9463.7864320000008</v>
      </c>
      <c r="J84" s="41"/>
    </row>
    <row r="85" spans="1:10" x14ac:dyDescent="0.5">
      <c r="A85" s="30" t="s">
        <v>27</v>
      </c>
      <c r="B85" s="37">
        <v>44440</v>
      </c>
      <c r="C85" s="37" t="s">
        <v>21</v>
      </c>
      <c r="D85" s="38">
        <v>2099.0655999999999</v>
      </c>
      <c r="E85" s="39">
        <v>4822.4399999999996</v>
      </c>
      <c r="F85" s="39">
        <v>833.14237000000003</v>
      </c>
      <c r="G85" s="40">
        <f t="shared" si="3"/>
        <v>5655.5823700000001</v>
      </c>
      <c r="H85" s="38">
        <f t="shared" si="2"/>
        <v>7754.64797</v>
      </c>
      <c r="I85" s="47">
        <v>6876.2254620000003</v>
      </c>
      <c r="J85" s="41"/>
    </row>
    <row r="86" spans="1:10" x14ac:dyDescent="0.5">
      <c r="A86" s="30" t="s">
        <v>28</v>
      </c>
      <c r="B86" s="37">
        <v>44470</v>
      </c>
      <c r="C86" s="37" t="s">
        <v>10</v>
      </c>
      <c r="D86" s="38">
        <v>10694.811699999998</v>
      </c>
      <c r="E86" s="39">
        <v>3292.652</v>
      </c>
      <c r="F86" s="39">
        <v>355.63409000000001</v>
      </c>
      <c r="G86" s="40">
        <f t="shared" si="3"/>
        <v>3648.2860900000001</v>
      </c>
      <c r="H86" s="38">
        <f t="shared" si="2"/>
        <v>14343.097789999998</v>
      </c>
      <c r="I86" s="47">
        <v>5107.7880059999998</v>
      </c>
      <c r="J86" s="41"/>
    </row>
    <row r="87" spans="1:10" x14ac:dyDescent="0.5">
      <c r="A87" s="30" t="s">
        <v>28</v>
      </c>
      <c r="B87" s="37">
        <v>44501</v>
      </c>
      <c r="C87" s="37" t="s">
        <v>11</v>
      </c>
      <c r="D87" s="38">
        <v>10679.456699999999</v>
      </c>
      <c r="E87" s="39">
        <v>2586.7979999999998</v>
      </c>
      <c r="F87" s="39">
        <v>32.336010000000002</v>
      </c>
      <c r="G87" s="40">
        <f t="shared" si="3"/>
        <v>2619.1340099999998</v>
      </c>
      <c r="H87" s="38">
        <f t="shared" si="2"/>
        <v>13298.590709999999</v>
      </c>
      <c r="I87" s="47">
        <v>8238.2200560000001</v>
      </c>
      <c r="J87" s="41"/>
    </row>
    <row r="88" spans="1:10" x14ac:dyDescent="0.5">
      <c r="A88" s="30" t="s">
        <v>28</v>
      </c>
      <c r="B88" s="37">
        <v>44531</v>
      </c>
      <c r="C88" s="37" t="s">
        <v>12</v>
      </c>
      <c r="D88" s="38">
        <v>7936.6127000000006</v>
      </c>
      <c r="E88" s="39">
        <v>2714.5639999999999</v>
      </c>
      <c r="F88" s="39">
        <v>6.9585820000000007</v>
      </c>
      <c r="G88" s="40">
        <f t="shared" si="3"/>
        <v>2721.5225820000001</v>
      </c>
      <c r="H88" s="38">
        <f t="shared" si="2"/>
        <v>10658.135281999999</v>
      </c>
      <c r="I88" s="47">
        <v>8578.3396260000009</v>
      </c>
      <c r="J88" s="41"/>
    </row>
    <row r="89" spans="1:10" x14ac:dyDescent="0.5">
      <c r="A89" s="30" t="s">
        <v>28</v>
      </c>
      <c r="B89" s="37">
        <v>44562</v>
      </c>
      <c r="C89" s="37" t="s">
        <v>13</v>
      </c>
      <c r="D89" s="38">
        <v>6529.2708000000002</v>
      </c>
      <c r="E89" s="39">
        <v>2451.8249999999998</v>
      </c>
      <c r="F89" s="39">
        <v>4.2640500000000001</v>
      </c>
      <c r="G89" s="40">
        <f t="shared" si="3"/>
        <v>2456.08905</v>
      </c>
      <c r="H89" s="38">
        <f t="shared" si="2"/>
        <v>8985.3598499999989</v>
      </c>
      <c r="I89" s="47">
        <v>8713.2290109999994</v>
      </c>
      <c r="J89" s="41"/>
    </row>
    <row r="90" spans="1:10" x14ac:dyDescent="0.5">
      <c r="A90" s="30" t="s">
        <v>28</v>
      </c>
      <c r="B90" s="37">
        <v>44593</v>
      </c>
      <c r="C90" s="37" t="s">
        <v>14</v>
      </c>
      <c r="D90" s="38">
        <v>3809.0001000000002</v>
      </c>
      <c r="E90" s="39">
        <v>6271.4049999999997</v>
      </c>
      <c r="F90" s="39">
        <v>5.7866879999999998</v>
      </c>
      <c r="G90" s="40">
        <f t="shared" si="3"/>
        <v>6277.1916879999999</v>
      </c>
      <c r="H90" s="38">
        <f t="shared" si="2"/>
        <v>10086.191788</v>
      </c>
      <c r="I90" s="47">
        <v>4567.8034420000004</v>
      </c>
      <c r="J90" s="41"/>
    </row>
    <row r="91" spans="1:10" x14ac:dyDescent="0.5">
      <c r="A91" s="30" t="s">
        <v>28</v>
      </c>
      <c r="B91" s="37">
        <v>44621</v>
      </c>
      <c r="C91" s="37" t="s">
        <v>15</v>
      </c>
      <c r="D91" s="38">
        <v>3018.4285</v>
      </c>
      <c r="E91" s="39">
        <v>12189.434999999999</v>
      </c>
      <c r="F91" s="39">
        <v>5.4687900000000003</v>
      </c>
      <c r="G91" s="40">
        <f t="shared" si="3"/>
        <v>12194.90379</v>
      </c>
      <c r="H91" s="38">
        <f t="shared" si="2"/>
        <v>15213.33229</v>
      </c>
      <c r="I91" s="47">
        <v>5817.6881880000001</v>
      </c>
      <c r="J91" s="41"/>
    </row>
    <row r="92" spans="1:10" x14ac:dyDescent="0.5">
      <c r="A92" s="30" t="s">
        <v>28</v>
      </c>
      <c r="B92" s="37">
        <v>44652</v>
      </c>
      <c r="C92" s="37" t="s">
        <v>16</v>
      </c>
      <c r="D92" s="38">
        <v>3550.9903999999997</v>
      </c>
      <c r="E92" s="39">
        <v>11473.992</v>
      </c>
      <c r="F92" s="39">
        <v>6.3542299999999994</v>
      </c>
      <c r="G92" s="40">
        <f t="shared" si="3"/>
        <v>11480.346230000001</v>
      </c>
      <c r="H92" s="38">
        <f t="shared" si="2"/>
        <v>15031.336630000002</v>
      </c>
      <c r="I92" s="47">
        <v>8067.2198369999996</v>
      </c>
      <c r="J92" s="41"/>
    </row>
    <row r="93" spans="1:10" x14ac:dyDescent="0.5">
      <c r="A93" s="30" t="s">
        <v>28</v>
      </c>
      <c r="B93" s="37">
        <v>44682</v>
      </c>
      <c r="C93" s="37" t="s">
        <v>17</v>
      </c>
      <c r="D93" s="38">
        <v>2448.8762000000002</v>
      </c>
      <c r="E93" s="39">
        <v>10636.038</v>
      </c>
      <c r="F93" s="39">
        <v>217.90907000000001</v>
      </c>
      <c r="G93" s="40">
        <f t="shared" si="3"/>
        <v>10853.94707</v>
      </c>
      <c r="H93" s="38">
        <f t="shared" si="2"/>
        <v>13302.823270000001</v>
      </c>
      <c r="I93" s="47">
        <v>9673.2777399999995</v>
      </c>
      <c r="J93" s="41"/>
    </row>
    <row r="94" spans="1:10" x14ac:dyDescent="0.5">
      <c r="A94" s="30" t="s">
        <v>28</v>
      </c>
      <c r="B94" s="37">
        <v>44713</v>
      </c>
      <c r="C94" s="37" t="s">
        <v>18</v>
      </c>
      <c r="D94" s="38">
        <v>2256.761</v>
      </c>
      <c r="E94" s="39">
        <v>9989.473</v>
      </c>
      <c r="F94" s="39">
        <v>283.05961500000001</v>
      </c>
      <c r="G94" s="40">
        <f t="shared" si="3"/>
        <v>10272.532615</v>
      </c>
      <c r="H94" s="38">
        <f t="shared" si="2"/>
        <v>12529.293615000001</v>
      </c>
      <c r="I94" s="47">
        <v>8247.1769669999994</v>
      </c>
      <c r="J94" s="41"/>
    </row>
    <row r="95" spans="1:10" x14ac:dyDescent="0.5">
      <c r="A95" s="30" t="s">
        <v>28</v>
      </c>
      <c r="B95" s="37">
        <v>44743</v>
      </c>
      <c r="C95" s="37" t="s">
        <v>19</v>
      </c>
      <c r="D95" s="38">
        <v>2315.5817000000002</v>
      </c>
      <c r="E95" s="39">
        <v>7508.5240000000003</v>
      </c>
      <c r="F95" s="39">
        <v>431.76593500000001</v>
      </c>
      <c r="G95" s="40">
        <f t="shared" si="3"/>
        <v>7940.2899350000007</v>
      </c>
      <c r="H95" s="38">
        <f t="shared" si="2"/>
        <v>10255.871635</v>
      </c>
      <c r="I95" s="47">
        <v>7882.891165</v>
      </c>
      <c r="J95" s="41"/>
    </row>
    <row r="96" spans="1:10" x14ac:dyDescent="0.5">
      <c r="A96" s="30" t="s">
        <v>28</v>
      </c>
      <c r="B96" s="37">
        <v>44774</v>
      </c>
      <c r="C96" s="37" t="s">
        <v>20</v>
      </c>
      <c r="D96" s="38">
        <v>3231.4557999999997</v>
      </c>
      <c r="E96" s="39">
        <v>5943.3710000000001</v>
      </c>
      <c r="F96" s="39">
        <v>330.90032500000001</v>
      </c>
      <c r="G96" s="40">
        <f t="shared" si="3"/>
        <v>6274.2713249999997</v>
      </c>
      <c r="H96" s="38">
        <f t="shared" si="2"/>
        <v>9505.7271249999994</v>
      </c>
      <c r="I96" s="47">
        <v>7163.0332010000002</v>
      </c>
      <c r="J96" s="41"/>
    </row>
    <row r="97" spans="1:10" x14ac:dyDescent="0.5">
      <c r="A97" s="30" t="s">
        <v>28</v>
      </c>
      <c r="B97" s="37">
        <v>44805</v>
      </c>
      <c r="C97" s="37" t="s">
        <v>21</v>
      </c>
      <c r="D97" s="38">
        <v>2077.8373000000001</v>
      </c>
      <c r="E97" s="39">
        <v>4000.5720000000001</v>
      </c>
      <c r="F97" s="39">
        <v>1163.9455249999999</v>
      </c>
      <c r="G97" s="40">
        <f t="shared" si="3"/>
        <v>5164.5175250000002</v>
      </c>
      <c r="H97" s="38">
        <f t="shared" si="2"/>
        <v>7242.3548250000003</v>
      </c>
      <c r="I97" s="47">
        <v>7647.1779800000004</v>
      </c>
      <c r="J97" s="41"/>
    </row>
    <row r="98" spans="1:10" x14ac:dyDescent="0.5">
      <c r="A98" s="30" t="s">
        <v>29</v>
      </c>
      <c r="B98" s="37">
        <v>44835</v>
      </c>
      <c r="C98" s="37" t="s">
        <v>10</v>
      </c>
      <c r="D98" s="38">
        <v>9946.8225000000002</v>
      </c>
      <c r="E98" s="39">
        <v>3797.7930000000001</v>
      </c>
      <c r="F98" s="39">
        <v>2117.7494530000004</v>
      </c>
      <c r="G98" s="40">
        <f t="shared" si="3"/>
        <v>5915.542453</v>
      </c>
      <c r="H98" s="38">
        <f t="shared" si="2"/>
        <v>15862.364953</v>
      </c>
      <c r="I98" s="47">
        <v>4120.1981999999998</v>
      </c>
      <c r="J98" s="41"/>
    </row>
    <row r="99" spans="1:10" x14ac:dyDescent="0.5">
      <c r="A99" s="30" t="s">
        <v>29</v>
      </c>
      <c r="B99" s="37">
        <v>44866</v>
      </c>
      <c r="C99" s="37" t="s">
        <v>11</v>
      </c>
      <c r="D99" s="38">
        <v>9751.8484000000008</v>
      </c>
      <c r="E99" s="39">
        <v>2524.6010000000001</v>
      </c>
      <c r="F99" s="39">
        <v>890.76239499999997</v>
      </c>
      <c r="G99" s="40">
        <f t="shared" si="3"/>
        <v>3415.3633950000003</v>
      </c>
      <c r="H99" s="38">
        <f t="shared" si="2"/>
        <v>13167.211795000001</v>
      </c>
      <c r="I99" s="47">
        <v>7211.6352550000001</v>
      </c>
      <c r="J99" s="41"/>
    </row>
    <row r="100" spans="1:10" x14ac:dyDescent="0.5">
      <c r="A100" s="30" t="s">
        <v>29</v>
      </c>
      <c r="B100" s="37">
        <v>44896</v>
      </c>
      <c r="C100" s="37" t="s">
        <v>12</v>
      </c>
      <c r="D100" s="38">
        <v>7961.4861000000001</v>
      </c>
      <c r="E100" s="39">
        <v>1951.702</v>
      </c>
      <c r="F100" s="39">
        <v>47.751649999999998</v>
      </c>
      <c r="G100" s="40">
        <f t="shared" si="3"/>
        <v>1999.4536499999999</v>
      </c>
      <c r="H100" s="38">
        <f t="shared" si="2"/>
        <v>9960.9397499999995</v>
      </c>
      <c r="I100" s="47">
        <v>10106.367469000001</v>
      </c>
      <c r="J100" s="41"/>
    </row>
    <row r="101" spans="1:10" x14ac:dyDescent="0.5">
      <c r="A101" s="30" t="s">
        <v>29</v>
      </c>
      <c r="B101" s="37">
        <v>44927</v>
      </c>
      <c r="C101" s="37" t="s">
        <v>13</v>
      </c>
      <c r="D101" s="38">
        <v>8245.8158000000003</v>
      </c>
      <c r="E101" s="39">
        <v>839.58500000000004</v>
      </c>
      <c r="F101" s="39">
        <v>1.5247599999999999</v>
      </c>
      <c r="G101" s="40">
        <f t="shared" si="3"/>
        <v>841.10976000000005</v>
      </c>
      <c r="H101" s="38">
        <f t="shared" si="2"/>
        <v>9086.9255599999997</v>
      </c>
      <c r="I101" s="47">
        <v>8002.4620750000004</v>
      </c>
      <c r="J101" s="41"/>
    </row>
    <row r="102" spans="1:10" x14ac:dyDescent="0.5">
      <c r="A102" s="30" t="s">
        <v>29</v>
      </c>
      <c r="B102" s="37">
        <v>44958</v>
      </c>
      <c r="C102" s="37" t="s">
        <v>14</v>
      </c>
      <c r="D102" s="38">
        <v>5470.5517</v>
      </c>
      <c r="E102" s="39">
        <v>5017.83</v>
      </c>
      <c r="F102" s="39">
        <v>39.841999999999999</v>
      </c>
      <c r="G102" s="40">
        <f t="shared" si="3"/>
        <v>5057.6719999999996</v>
      </c>
      <c r="H102" s="38">
        <f t="shared" si="2"/>
        <v>10528.2237</v>
      </c>
      <c r="I102" s="47">
        <v>6275.5589389999996</v>
      </c>
      <c r="J102" s="41"/>
    </row>
    <row r="103" spans="1:10" x14ac:dyDescent="0.5">
      <c r="A103" s="30" t="s">
        <v>29</v>
      </c>
      <c r="B103" s="37">
        <v>44986</v>
      </c>
      <c r="C103" s="37" t="s">
        <v>15</v>
      </c>
      <c r="D103" s="38">
        <v>3094.4841000000001</v>
      </c>
      <c r="E103" s="39">
        <v>13243.776</v>
      </c>
      <c r="F103" s="39">
        <v>3.9835400000000001</v>
      </c>
      <c r="G103" s="40">
        <f t="shared" si="3"/>
        <v>13247.759539999999</v>
      </c>
      <c r="H103" s="38">
        <f t="shared" si="2"/>
        <v>16342.243639999999</v>
      </c>
      <c r="I103" s="47">
        <v>6538.2821480000002</v>
      </c>
      <c r="J103" s="41"/>
    </row>
    <row r="104" spans="1:10" x14ac:dyDescent="0.5">
      <c r="A104" s="30" t="s">
        <v>29</v>
      </c>
      <c r="B104" s="37">
        <v>45017</v>
      </c>
      <c r="C104" s="37" t="s">
        <v>16</v>
      </c>
      <c r="D104" s="38">
        <v>2512.5841</v>
      </c>
      <c r="E104" s="39">
        <v>14334.476000000001</v>
      </c>
      <c r="F104" s="39">
        <v>4.4393000000000002</v>
      </c>
      <c r="G104" s="40">
        <f t="shared" si="3"/>
        <v>14338.915300000001</v>
      </c>
      <c r="H104" s="38">
        <f t="shared" si="2"/>
        <v>16851.499400000001</v>
      </c>
      <c r="I104" s="47">
        <v>7129.9193670000004</v>
      </c>
      <c r="J104" s="41"/>
    </row>
    <row r="105" spans="1:10" x14ac:dyDescent="0.5">
      <c r="A105" s="30" t="s">
        <v>29</v>
      </c>
      <c r="B105" s="37">
        <v>45047</v>
      </c>
      <c r="C105" s="37" t="s">
        <v>17</v>
      </c>
      <c r="D105" s="38">
        <v>996.76790000000005</v>
      </c>
      <c r="E105" s="39">
        <v>15584.216</v>
      </c>
      <c r="F105" s="39">
        <v>556.13115000000005</v>
      </c>
      <c r="G105" s="40">
        <f t="shared" si="3"/>
        <v>16140.34715</v>
      </c>
      <c r="H105" s="38">
        <f t="shared" si="2"/>
        <v>17137.11505</v>
      </c>
      <c r="I105" s="47">
        <v>11566.727484999999</v>
      </c>
      <c r="J105" s="41"/>
    </row>
    <row r="106" spans="1:10" x14ac:dyDescent="0.5">
      <c r="A106" s="30" t="s">
        <v>29</v>
      </c>
      <c r="B106" s="37">
        <v>45078</v>
      </c>
      <c r="C106" s="37" t="s">
        <v>18</v>
      </c>
      <c r="D106" s="38">
        <v>823.62249999999995</v>
      </c>
      <c r="E106" s="39">
        <v>13745.875</v>
      </c>
      <c r="F106" s="39">
        <v>181.67370000000003</v>
      </c>
      <c r="G106" s="40">
        <f t="shared" si="3"/>
        <v>13927.548699999999</v>
      </c>
      <c r="H106" s="38">
        <f t="shared" si="2"/>
        <v>14751.171199999999</v>
      </c>
      <c r="I106" s="47">
        <v>10035.592930999999</v>
      </c>
      <c r="J106" s="41"/>
    </row>
    <row r="107" spans="1:10" x14ac:dyDescent="0.5">
      <c r="A107" s="30" t="s">
        <v>29</v>
      </c>
      <c r="B107" s="37">
        <v>45108</v>
      </c>
      <c r="C107" s="37" t="s">
        <v>19</v>
      </c>
      <c r="D107" s="38">
        <v>1276.9673</v>
      </c>
      <c r="E107" s="39">
        <v>9696.9040000000005</v>
      </c>
      <c r="F107" s="39">
        <v>40.170660000000005</v>
      </c>
      <c r="G107" s="40">
        <f t="shared" si="3"/>
        <v>9737.0746600000002</v>
      </c>
      <c r="H107" s="38">
        <f t="shared" si="2"/>
        <v>11014.04196</v>
      </c>
      <c r="I107" s="47">
        <v>9648.6014799999994</v>
      </c>
      <c r="J107" s="41"/>
    </row>
    <row r="108" spans="1:10" x14ac:dyDescent="0.5">
      <c r="A108" s="30" t="s">
        <v>29</v>
      </c>
      <c r="B108" s="37">
        <v>45139</v>
      </c>
      <c r="C108" s="37" t="s">
        <v>20</v>
      </c>
      <c r="D108" s="38">
        <v>1704.7885000000001</v>
      </c>
      <c r="E108" s="39">
        <v>8387.8989999999994</v>
      </c>
      <c r="F108" s="39">
        <v>82.381500000000003</v>
      </c>
      <c r="G108" s="40">
        <f t="shared" si="3"/>
        <v>8470.2804999999989</v>
      </c>
      <c r="H108" s="38">
        <f t="shared" si="2"/>
        <v>10175.069</v>
      </c>
      <c r="I108" s="47">
        <v>9362.6192439999995</v>
      </c>
      <c r="J108" s="41"/>
    </row>
    <row r="109" spans="1:10" x14ac:dyDescent="0.5">
      <c r="A109" s="30" t="s">
        <v>29</v>
      </c>
      <c r="B109" s="37">
        <v>45170</v>
      </c>
      <c r="C109" s="37" t="s">
        <v>21</v>
      </c>
      <c r="D109" s="38">
        <v>2498.5169999999998</v>
      </c>
      <c r="E109" s="39">
        <v>6400.4979999999996</v>
      </c>
      <c r="F109" s="39">
        <v>200.40100000000001</v>
      </c>
      <c r="G109" s="40">
        <f t="shared" si="3"/>
        <v>6600.8989999999994</v>
      </c>
      <c r="H109" s="38">
        <f t="shared" si="2"/>
        <v>9099.4159999999993</v>
      </c>
      <c r="I109" s="47">
        <v>7153.4954349999998</v>
      </c>
      <c r="J109" s="41"/>
    </row>
    <row r="110" spans="1:10" x14ac:dyDescent="0.5">
      <c r="A110" s="30" t="s">
        <v>30</v>
      </c>
      <c r="B110" s="37">
        <v>45200</v>
      </c>
      <c r="C110" s="37" t="s">
        <v>10</v>
      </c>
      <c r="D110" s="38">
        <v>9421.8799999999992</v>
      </c>
      <c r="E110" s="39">
        <v>5606.0910000000003</v>
      </c>
      <c r="F110" s="39">
        <v>617.004727</v>
      </c>
      <c r="G110" s="40">
        <f t="shared" si="3"/>
        <v>6223.0957269999999</v>
      </c>
      <c r="H110" s="38">
        <f t="shared" si="2"/>
        <v>15644.975726999999</v>
      </c>
      <c r="I110" s="47">
        <v>5157.6059089999999</v>
      </c>
      <c r="J110" s="41"/>
    </row>
    <row r="111" spans="1:10" x14ac:dyDescent="0.5">
      <c r="A111" s="30" t="s">
        <v>30</v>
      </c>
      <c r="B111" s="37">
        <v>45231</v>
      </c>
      <c r="C111" s="37" t="s">
        <v>11</v>
      </c>
      <c r="D111" s="38">
        <v>7467.1162999999997</v>
      </c>
      <c r="E111" s="39">
        <v>5201.1360000000004</v>
      </c>
      <c r="F111" s="39">
        <v>94.790933999999993</v>
      </c>
      <c r="G111" s="40">
        <f t="shared" si="3"/>
        <v>5295.9269340000001</v>
      </c>
      <c r="H111" s="38">
        <f t="shared" si="2"/>
        <v>12763.043234000001</v>
      </c>
      <c r="I111" s="47">
        <v>7917.6478349999998</v>
      </c>
      <c r="J111" s="41"/>
    </row>
    <row r="112" spans="1:10" x14ac:dyDescent="0.5">
      <c r="A112" s="30" t="s">
        <v>30</v>
      </c>
      <c r="B112" s="37">
        <v>45261</v>
      </c>
      <c r="C112" s="37" t="s">
        <v>12</v>
      </c>
      <c r="D112" s="38">
        <v>4771.6904999999997</v>
      </c>
      <c r="E112" s="39">
        <v>3834.76</v>
      </c>
      <c r="F112" s="39">
        <v>37.144860000000001</v>
      </c>
      <c r="G112" s="40">
        <f t="shared" si="3"/>
        <v>3871.9048600000001</v>
      </c>
      <c r="H112" s="38">
        <f t="shared" si="2"/>
        <v>8643.5953599999993</v>
      </c>
      <c r="I112" s="47">
        <v>9822.5496770000009</v>
      </c>
      <c r="J112" s="41"/>
    </row>
    <row r="113" spans="1:10" x14ac:dyDescent="0.5">
      <c r="A113" s="30" t="s">
        <v>30</v>
      </c>
      <c r="B113" s="37">
        <v>45292</v>
      </c>
      <c r="C113" s="37" t="s">
        <v>13</v>
      </c>
      <c r="D113" s="39">
        <v>5866.2746999999999</v>
      </c>
      <c r="E113" s="39">
        <v>2854.837</v>
      </c>
      <c r="F113" s="39">
        <v>51.588360000000002</v>
      </c>
      <c r="G113" s="40">
        <f t="shared" si="3"/>
        <v>2906.4253600000002</v>
      </c>
      <c r="H113" s="38">
        <f t="shared" si="2"/>
        <v>8772.7000599999992</v>
      </c>
      <c r="I113" s="48">
        <v>7920.4570199999998</v>
      </c>
      <c r="J113" s="41"/>
    </row>
    <row r="114" spans="1:10" x14ac:dyDescent="0.5">
      <c r="A114" s="30" t="s">
        <v>30</v>
      </c>
      <c r="B114" s="37">
        <v>45323</v>
      </c>
      <c r="C114" s="37" t="s">
        <v>14</v>
      </c>
      <c r="D114" s="39">
        <v>5282.1812</v>
      </c>
      <c r="E114" s="39">
        <v>6608.15</v>
      </c>
      <c r="F114" s="39">
        <v>4.8146000000000004</v>
      </c>
      <c r="G114" s="40">
        <f t="shared" si="3"/>
        <v>6612.9645999999993</v>
      </c>
      <c r="H114" s="38">
        <f t="shared" si="2"/>
        <v>11895.1458</v>
      </c>
      <c r="I114" s="48">
        <v>5115.3002939999997</v>
      </c>
      <c r="J114" s="41"/>
    </row>
    <row r="115" spans="1:10" x14ac:dyDescent="0.5">
      <c r="A115" s="30" t="s">
        <v>30</v>
      </c>
      <c r="B115" s="37">
        <v>45352</v>
      </c>
      <c r="C115" s="37" t="s">
        <v>15</v>
      </c>
      <c r="D115" s="39">
        <v>3189.6311000000001</v>
      </c>
      <c r="E115" s="39">
        <v>12600.313</v>
      </c>
      <c r="F115" s="39">
        <v>4.9375</v>
      </c>
      <c r="G115" s="40">
        <f t="shared" si="3"/>
        <v>12605.2505</v>
      </c>
      <c r="H115" s="38">
        <f t="shared" si="2"/>
        <v>15794.881600000001</v>
      </c>
      <c r="I115" s="49">
        <v>5539.9489649999996</v>
      </c>
      <c r="J115" s="41"/>
    </row>
    <row r="116" spans="1:10" x14ac:dyDescent="0.5">
      <c r="A116" s="30" t="s">
        <v>30</v>
      </c>
      <c r="B116" s="37">
        <v>45383</v>
      </c>
      <c r="C116" s="37" t="s">
        <v>16</v>
      </c>
      <c r="D116" s="39">
        <v>1783.4163999999998</v>
      </c>
      <c r="E116" s="39">
        <v>14687.834000000001</v>
      </c>
      <c r="F116" s="39">
        <v>170.198745</v>
      </c>
      <c r="G116" s="40">
        <f t="shared" si="3"/>
        <v>14858.032745</v>
      </c>
      <c r="H116" s="38">
        <f t="shared" si="2"/>
        <v>16641.449145000002</v>
      </c>
      <c r="I116" s="49">
        <v>8571.6143100000008</v>
      </c>
      <c r="J116" s="41"/>
    </row>
    <row r="117" spans="1:10" x14ac:dyDescent="0.5">
      <c r="A117" s="30" t="s">
        <v>30</v>
      </c>
      <c r="B117" s="37">
        <v>45413</v>
      </c>
      <c r="C117" s="37" t="s">
        <v>17</v>
      </c>
      <c r="D117" s="39">
        <v>1376.7528</v>
      </c>
      <c r="E117" s="39">
        <v>13436.731</v>
      </c>
      <c r="F117" s="39">
        <v>1516.647393</v>
      </c>
      <c r="G117" s="40">
        <f t="shared" si="3"/>
        <v>14953.378392999999</v>
      </c>
      <c r="H117" s="38">
        <f t="shared" si="2"/>
        <v>16330.131192999999</v>
      </c>
      <c r="I117" s="49">
        <v>10220.571753</v>
      </c>
      <c r="J117" s="41"/>
    </row>
    <row r="118" spans="1:10" x14ac:dyDescent="0.5">
      <c r="A118" s="30" t="s">
        <v>30</v>
      </c>
      <c r="B118" s="37">
        <v>45444</v>
      </c>
      <c r="C118" s="37" t="s">
        <v>18</v>
      </c>
      <c r="D118" s="39">
        <v>1407.5643</v>
      </c>
      <c r="E118" s="39">
        <v>13959.641</v>
      </c>
      <c r="F118" s="39">
        <v>1415.9304180000001</v>
      </c>
      <c r="G118" s="40">
        <f t="shared" si="3"/>
        <v>15375.571418</v>
      </c>
      <c r="H118" s="38">
        <f t="shared" si="2"/>
        <v>16783.135718000001</v>
      </c>
      <c r="I118" s="49">
        <v>11112.672761</v>
      </c>
      <c r="J118" s="41"/>
    </row>
    <row r="119" spans="1:10" x14ac:dyDescent="0.5">
      <c r="A119" s="30" t="s">
        <v>30</v>
      </c>
      <c r="B119" s="37">
        <v>45474</v>
      </c>
      <c r="C119" s="37" t="s">
        <v>19</v>
      </c>
      <c r="D119" s="39">
        <v>1490.8416000000002</v>
      </c>
      <c r="E119" s="39">
        <v>11252.773999999999</v>
      </c>
      <c r="F119" s="39">
        <v>373.20709899999997</v>
      </c>
      <c r="G119" s="40">
        <f t="shared" si="3"/>
        <v>11625.981098999999</v>
      </c>
      <c r="H119" s="38">
        <f t="shared" si="2"/>
        <v>13116.822698999998</v>
      </c>
      <c r="I119" s="49">
        <v>9854.1142419999996</v>
      </c>
      <c r="J119" s="41"/>
    </row>
    <row r="120" spans="1:10" x14ac:dyDescent="0.5">
      <c r="A120" s="30" t="s">
        <v>30</v>
      </c>
      <c r="B120" s="37">
        <v>45505</v>
      </c>
      <c r="C120" s="37" t="s">
        <v>20</v>
      </c>
      <c r="D120" s="39">
        <v>1709.8521000000001</v>
      </c>
      <c r="E120" s="39">
        <v>8037.7219999999998</v>
      </c>
      <c r="F120" s="39">
        <v>521.92908</v>
      </c>
      <c r="G120" s="40">
        <f t="shared" si="3"/>
        <v>8559.6510799999996</v>
      </c>
      <c r="H120" s="38">
        <f t="shared" si="2"/>
        <v>10269.50318</v>
      </c>
      <c r="I120" s="49">
        <v>12144.269267</v>
      </c>
      <c r="J120" s="41"/>
    </row>
    <row r="121" spans="1:10" x14ac:dyDescent="0.5">
      <c r="A121" s="30" t="s">
        <v>30</v>
      </c>
      <c r="B121" s="37">
        <v>45536</v>
      </c>
      <c r="C121" s="37" t="s">
        <v>21</v>
      </c>
      <c r="D121" s="39">
        <v>3114.1603999999998</v>
      </c>
      <c r="E121" s="39">
        <v>6104.26</v>
      </c>
      <c r="F121" s="39">
        <v>292.21274499999998</v>
      </c>
      <c r="G121" s="40">
        <f t="shared" si="3"/>
        <v>6396.472745</v>
      </c>
      <c r="H121" s="38">
        <f t="shared" si="2"/>
        <v>9510.6331449999998</v>
      </c>
      <c r="I121" s="49">
        <v>11370.347942</v>
      </c>
      <c r="J121" s="41"/>
    </row>
    <row r="122" spans="1:10" x14ac:dyDescent="0.5">
      <c r="A122" s="30" t="s">
        <v>31</v>
      </c>
      <c r="B122" s="37">
        <v>45566</v>
      </c>
      <c r="C122" s="37" t="s">
        <v>10</v>
      </c>
      <c r="D122" s="39">
        <v>9418.0491999999995</v>
      </c>
      <c r="E122" s="39">
        <v>4709.7479999999996</v>
      </c>
      <c r="F122" s="39">
        <v>145.41238000000001</v>
      </c>
      <c r="G122" s="40">
        <f t="shared" si="3"/>
        <v>4855.1603799999993</v>
      </c>
      <c r="H122" s="38">
        <f t="shared" si="2"/>
        <v>14273.209579999999</v>
      </c>
      <c r="I122" s="49">
        <v>8087.799035</v>
      </c>
      <c r="J122" s="41"/>
    </row>
    <row r="123" spans="1:10" x14ac:dyDescent="0.5">
      <c r="A123" s="30" t="s">
        <v>31</v>
      </c>
      <c r="B123" s="37">
        <v>45597</v>
      </c>
      <c r="C123" s="37" t="s">
        <v>11</v>
      </c>
      <c r="D123" s="39">
        <v>10085.242900000001</v>
      </c>
      <c r="E123" s="39">
        <v>2552.8000000000002</v>
      </c>
      <c r="F123" s="39">
        <v>94.063999999999993</v>
      </c>
      <c r="G123" s="40">
        <f t="shared" si="3"/>
        <v>2646.864</v>
      </c>
      <c r="H123" s="38">
        <f t="shared" si="2"/>
        <v>12732.106900000001</v>
      </c>
      <c r="I123" s="49">
        <v>7154.1077210000003</v>
      </c>
      <c r="J123" s="41"/>
    </row>
    <row r="124" spans="1:10" x14ac:dyDescent="0.5">
      <c r="A124" s="30" t="s">
        <v>31</v>
      </c>
      <c r="B124" s="37">
        <v>45627</v>
      </c>
      <c r="C124" s="37" t="s">
        <v>12</v>
      </c>
      <c r="D124" s="39">
        <v>7482.4207999999999</v>
      </c>
      <c r="E124" s="39">
        <v>2006.0540000000001</v>
      </c>
      <c r="F124" s="39">
        <v>8.5305119999999999</v>
      </c>
      <c r="G124" s="40">
        <f t="shared" si="3"/>
        <v>2014.5845120000001</v>
      </c>
      <c r="H124" s="38">
        <f t="shared" si="2"/>
        <v>9497.0053119999993</v>
      </c>
      <c r="I124" s="49">
        <v>7941.4609529999998</v>
      </c>
      <c r="J124" s="41"/>
    </row>
    <row r="125" spans="1:10" x14ac:dyDescent="0.5">
      <c r="A125" s="30" t="s">
        <v>31</v>
      </c>
      <c r="B125" s="37">
        <v>45658</v>
      </c>
      <c r="C125" s="37" t="s">
        <v>13</v>
      </c>
      <c r="D125" s="39">
        <v>5211.6870999999992</v>
      </c>
      <c r="E125" s="39">
        <v>1069.087</v>
      </c>
      <c r="F125" s="39">
        <v>6.9903999999999993</v>
      </c>
      <c r="G125" s="40">
        <f t="shared" si="3"/>
        <v>1076.0773999999999</v>
      </c>
      <c r="H125" s="38">
        <f t="shared" si="2"/>
        <v>6287.7644999999984</v>
      </c>
      <c r="I125" s="49">
        <v>7775.3639929999999</v>
      </c>
      <c r="J125" s="41"/>
    </row>
    <row r="126" spans="1:10" x14ac:dyDescent="0.5">
      <c r="A126" s="30" t="s">
        <v>31</v>
      </c>
      <c r="B126" s="37">
        <v>45689</v>
      </c>
      <c r="C126" s="37" t="s">
        <v>14</v>
      </c>
      <c r="D126" s="39">
        <v>3117.2017999999998</v>
      </c>
      <c r="E126" s="39">
        <v>6428.3329999999996</v>
      </c>
      <c r="F126" s="39">
        <v>8.5384799999999998</v>
      </c>
      <c r="G126" s="40">
        <f t="shared" si="3"/>
        <v>6436.8714799999998</v>
      </c>
      <c r="H126" s="38">
        <f t="shared" si="2"/>
        <v>9554.0732799999987</v>
      </c>
      <c r="I126" s="49">
        <v>5830.1231680000001</v>
      </c>
      <c r="J126" s="41"/>
    </row>
    <row r="127" spans="1:10" x14ac:dyDescent="0.5">
      <c r="A127" s="30" t="s">
        <v>31</v>
      </c>
      <c r="B127" s="37">
        <v>45717</v>
      </c>
      <c r="C127" s="37" t="s">
        <v>15</v>
      </c>
      <c r="D127" s="39">
        <v>3498.2367999999997</v>
      </c>
      <c r="E127" s="39">
        <v>14657.767</v>
      </c>
      <c r="F127" s="39">
        <v>7.3372799999999998</v>
      </c>
      <c r="G127" s="40">
        <f t="shared" si="3"/>
        <v>14665.10428</v>
      </c>
      <c r="H127" s="38">
        <f t="shared" si="2"/>
        <v>18163.341079999998</v>
      </c>
      <c r="I127" s="50">
        <v>3503.4387969999998</v>
      </c>
      <c r="J127" s="41"/>
    </row>
    <row r="128" spans="1:10" x14ac:dyDescent="0.5">
      <c r="A128" s="30" t="s">
        <v>31</v>
      </c>
      <c r="B128" s="37">
        <v>45748</v>
      </c>
      <c r="C128" s="37" t="s">
        <v>16</v>
      </c>
      <c r="D128" s="39">
        <v>2179.7813999999998</v>
      </c>
      <c r="E128" s="39">
        <v>15271.924000000001</v>
      </c>
      <c r="F128" s="39">
        <v>162.3074</v>
      </c>
      <c r="G128" s="40">
        <f t="shared" si="3"/>
        <v>15434.231400000001</v>
      </c>
      <c r="H128" s="38">
        <f t="shared" si="2"/>
        <v>17614.0128</v>
      </c>
      <c r="I128" s="50">
        <v>6079.8926540000002</v>
      </c>
      <c r="J128" s="41"/>
    </row>
    <row r="129" spans="1:10" x14ac:dyDescent="0.5">
      <c r="A129" s="30" t="s">
        <v>31</v>
      </c>
      <c r="B129" s="37">
        <v>45778</v>
      </c>
      <c r="C129" s="37" t="s">
        <v>17</v>
      </c>
      <c r="D129" s="39">
        <v>1595.2748000000001</v>
      </c>
      <c r="E129" s="39">
        <v>14100.526</v>
      </c>
      <c r="F129" s="39">
        <v>1225.6690679999999</v>
      </c>
      <c r="G129" s="40">
        <f t="shared" si="3"/>
        <v>15326.195067999999</v>
      </c>
      <c r="H129" s="38">
        <f t="shared" si="2"/>
        <v>16921.469868</v>
      </c>
      <c r="I129" s="50">
        <v>13917.473757</v>
      </c>
      <c r="J129" s="41"/>
    </row>
    <row r="130" spans="1:10" x14ac:dyDescent="0.5">
      <c r="A130" s="30" t="s">
        <v>31</v>
      </c>
      <c r="B130" s="37">
        <v>45809</v>
      </c>
      <c r="C130" s="37" t="s">
        <v>18</v>
      </c>
      <c r="D130" s="39">
        <v>1500.6459</v>
      </c>
      <c r="E130" s="39">
        <v>13420.317999999999</v>
      </c>
      <c r="F130" s="39">
        <v>1004.730873</v>
      </c>
      <c r="G130" s="40">
        <f t="shared" si="3"/>
        <v>14425.048873</v>
      </c>
      <c r="H130" s="38">
        <f t="shared" ref="H130:H139" si="4">SUM(D130:F130)</f>
        <v>15925.694772999999</v>
      </c>
      <c r="I130" s="50">
        <v>12282.985391</v>
      </c>
      <c r="J130" s="41"/>
    </row>
    <row r="131" spans="1:10" x14ac:dyDescent="0.5">
      <c r="A131" s="30" t="s">
        <v>31</v>
      </c>
      <c r="B131" s="37">
        <v>45839</v>
      </c>
      <c r="C131" s="37" t="s">
        <v>19</v>
      </c>
      <c r="D131" s="39">
        <v>1750.7699</v>
      </c>
      <c r="E131" s="39">
        <v>12257.349</v>
      </c>
      <c r="F131" s="39">
        <v>1363.25218</v>
      </c>
      <c r="G131" s="40">
        <f t="shared" ref="G131:G139" si="5">E131+F131</f>
        <v>13620.60118</v>
      </c>
      <c r="H131" s="38">
        <f t="shared" si="4"/>
        <v>15371.371079999999</v>
      </c>
      <c r="I131" s="50">
        <v>11664.274374000001</v>
      </c>
      <c r="J131" s="41"/>
    </row>
    <row r="132" spans="1:10" x14ac:dyDescent="0.5">
      <c r="A132" s="30" t="s">
        <v>31</v>
      </c>
      <c r="B132" s="37">
        <v>45870</v>
      </c>
      <c r="C132" s="37" t="s">
        <v>20</v>
      </c>
      <c r="D132" s="51">
        <v>2273.4409000000001</v>
      </c>
      <c r="E132" s="39">
        <v>9325.1679999999997</v>
      </c>
      <c r="F132" s="39">
        <v>1795.034496</v>
      </c>
      <c r="G132" s="40">
        <f t="shared" si="5"/>
        <v>11120.202496</v>
      </c>
      <c r="H132" s="38">
        <f t="shared" si="4"/>
        <v>13393.643395999999</v>
      </c>
      <c r="I132" s="50">
        <v>12277.454487999999</v>
      </c>
      <c r="J132" s="41"/>
    </row>
    <row r="133" spans="1:10" x14ac:dyDescent="0.5">
      <c r="A133" s="30" t="s">
        <v>31</v>
      </c>
      <c r="B133" s="37">
        <v>45901</v>
      </c>
      <c r="C133" s="37" t="s">
        <v>21</v>
      </c>
      <c r="D133" s="51">
        <v>2855.9562000000001</v>
      </c>
      <c r="E133" s="39">
        <v>7339.9629999999997</v>
      </c>
      <c r="F133" s="39">
        <v>2042.4127060000001</v>
      </c>
      <c r="G133" s="40">
        <f t="shared" si="5"/>
        <v>9382.3757059999989</v>
      </c>
      <c r="H133" s="38">
        <f t="shared" si="4"/>
        <v>12238.331905999999</v>
      </c>
      <c r="I133" s="50">
        <v>12868.006638000001</v>
      </c>
      <c r="J133" s="41"/>
    </row>
    <row r="134" spans="1:10" x14ac:dyDescent="0.5">
      <c r="A134" s="52" t="s">
        <v>32</v>
      </c>
      <c r="B134" s="37">
        <v>45931</v>
      </c>
      <c r="C134" s="37" t="s">
        <v>10</v>
      </c>
      <c r="D134" s="51">
        <v>5363.8283000000001</v>
      </c>
      <c r="E134" s="39">
        <v>6727.6639999999998</v>
      </c>
      <c r="F134" s="39">
        <v>1680.182</v>
      </c>
      <c r="G134" s="40">
        <f t="shared" si="5"/>
        <v>8407.8459999999995</v>
      </c>
      <c r="H134" s="38">
        <f t="shared" si="4"/>
        <v>13771.674300000001</v>
      </c>
      <c r="I134" s="50">
        <v>9481.8469999999998</v>
      </c>
      <c r="J134" s="41"/>
    </row>
    <row r="135" spans="1:10" x14ac:dyDescent="0.5">
      <c r="A135" s="52" t="s">
        <v>32</v>
      </c>
      <c r="B135" s="37">
        <v>45962</v>
      </c>
      <c r="C135" s="37" t="s">
        <v>11</v>
      </c>
      <c r="D135" s="53">
        <v>4292.6750000000002</v>
      </c>
      <c r="E135" s="39">
        <v>4197.1610000000001</v>
      </c>
      <c r="F135" s="39">
        <v>2190.8310000000001</v>
      </c>
      <c r="G135" s="40">
        <f>E135+F135</f>
        <v>6387.9920000000002</v>
      </c>
      <c r="H135" s="38">
        <f t="shared" si="4"/>
        <v>10680.666999999999</v>
      </c>
      <c r="I135" s="54">
        <v>8107.3130000000001</v>
      </c>
      <c r="J135" s="41"/>
    </row>
    <row r="136" spans="1:10" x14ac:dyDescent="0.5">
      <c r="A136" s="30" t="s">
        <v>32</v>
      </c>
      <c r="B136" s="37">
        <v>45992</v>
      </c>
      <c r="C136" s="55" t="s">
        <v>12</v>
      </c>
      <c r="D136" s="56">
        <v>4460.1120000000001</v>
      </c>
      <c r="E136" s="39">
        <v>3383</v>
      </c>
      <c r="F136" s="39">
        <v>870.80409999999995</v>
      </c>
      <c r="G136" s="40">
        <f t="shared" si="5"/>
        <v>4253.8041000000003</v>
      </c>
      <c r="H136" s="38">
        <f t="shared" si="4"/>
        <v>8713.9161000000004</v>
      </c>
      <c r="I136" s="50">
        <v>8043.9110000000001</v>
      </c>
      <c r="J136" s="41"/>
    </row>
    <row r="137" spans="1:10" x14ac:dyDescent="0.5">
      <c r="A137" s="30" t="s">
        <v>32</v>
      </c>
      <c r="B137" s="37">
        <v>46023</v>
      </c>
      <c r="C137" s="55" t="s">
        <v>13</v>
      </c>
      <c r="D137" s="39">
        <v>5821.9470000000001</v>
      </c>
      <c r="E137" s="39">
        <v>1877</v>
      </c>
      <c r="F137" s="39">
        <v>53.335999999999999</v>
      </c>
      <c r="G137" s="40">
        <f t="shared" si="5"/>
        <v>1930.336</v>
      </c>
      <c r="H137" s="38">
        <f t="shared" si="4"/>
        <v>7752.2830000000004</v>
      </c>
      <c r="I137" s="39"/>
      <c r="J137" s="41"/>
    </row>
    <row r="138" spans="1:10" x14ac:dyDescent="0.5">
      <c r="A138" s="30" t="s">
        <v>32</v>
      </c>
      <c r="B138" s="37">
        <v>46054</v>
      </c>
      <c r="C138" s="55" t="s">
        <v>14</v>
      </c>
      <c r="D138" s="39">
        <v>4195.741</v>
      </c>
      <c r="E138" s="39">
        <v>7076</v>
      </c>
      <c r="F138" s="39">
        <v>4.1120000000000001</v>
      </c>
      <c r="G138" s="40">
        <f t="shared" si="5"/>
        <v>7080.1120000000001</v>
      </c>
      <c r="H138" s="38">
        <f t="shared" si="4"/>
        <v>11275.852999999999</v>
      </c>
      <c r="I138" s="39"/>
      <c r="J138" s="41"/>
    </row>
    <row r="139" spans="1:10" x14ac:dyDescent="0.5">
      <c r="A139" s="30" t="s">
        <v>32</v>
      </c>
      <c r="B139" s="37">
        <v>46082</v>
      </c>
      <c r="C139" s="55" t="s">
        <v>15</v>
      </c>
      <c r="D139" s="39"/>
      <c r="E139" s="39">
        <v>14531.68</v>
      </c>
      <c r="F139" s="39"/>
      <c r="G139" s="40">
        <f t="shared" si="5"/>
        <v>14531.68</v>
      </c>
      <c r="H139" s="38">
        <f t="shared" si="4"/>
        <v>14531.68</v>
      </c>
      <c r="I139" s="39"/>
      <c r="J139" s="41"/>
    </row>
    <row r="140" spans="1:10" x14ac:dyDescent="0.5">
      <c r="A140" s="30" t="s">
        <v>32</v>
      </c>
      <c r="B140" s="37">
        <v>46113</v>
      </c>
      <c r="C140" s="55" t="s">
        <v>16</v>
      </c>
      <c r="D140" s="39"/>
      <c r="E140" s="39"/>
      <c r="F140" s="39"/>
      <c r="G140" s="40"/>
      <c r="H140" s="38"/>
      <c r="I140" s="39"/>
      <c r="J140" s="41"/>
    </row>
  </sheetData>
  <autoFilter ref="A1:G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53462-251A-4D77-BD9B-18F3DFD75FDF}">
  <dimension ref="A1:F145"/>
  <sheetViews>
    <sheetView workbookViewId="0">
      <selection activeCell="K10" sqref="K10"/>
    </sheetView>
  </sheetViews>
  <sheetFormatPr defaultRowHeight="15.75" x14ac:dyDescent="0.5"/>
  <cols>
    <col min="1" max="1" width="12.1328125" style="36" bestFit="1" customWidth="1"/>
    <col min="2" max="2" width="9.6640625" style="36" bestFit="1" customWidth="1"/>
    <col min="3" max="3" width="12.1328125" style="36" customWidth="1"/>
    <col min="4" max="4" width="10.73046875" style="36" bestFit="1" customWidth="1"/>
    <col min="5" max="20" width="9.6640625" style="36" bestFit="1" customWidth="1"/>
    <col min="21" max="21" width="10.73046875" style="36" bestFit="1" customWidth="1"/>
    <col min="22" max="84" width="9.6640625" style="36" bestFit="1" customWidth="1"/>
    <col min="85" max="16384" width="9.06640625" style="36"/>
  </cols>
  <sheetData>
    <row r="1" spans="1:6" x14ac:dyDescent="0.5">
      <c r="A1" s="57" t="s">
        <v>35</v>
      </c>
      <c r="B1" s="57" t="s">
        <v>1</v>
      </c>
      <c r="C1" s="57" t="s">
        <v>2</v>
      </c>
      <c r="D1" s="57" t="s">
        <v>3</v>
      </c>
      <c r="E1" s="57" t="s">
        <v>4</v>
      </c>
      <c r="F1" s="57" t="s">
        <v>5</v>
      </c>
    </row>
    <row r="2" spans="1:6" x14ac:dyDescent="0.5">
      <c r="A2" s="57" t="s">
        <v>34</v>
      </c>
      <c r="B2" s="58">
        <v>41730</v>
      </c>
      <c r="C2" s="57" t="s">
        <v>16</v>
      </c>
      <c r="D2" s="39">
        <v>841.86099999999999</v>
      </c>
      <c r="E2" s="39">
        <v>1330.395</v>
      </c>
      <c r="F2" s="39">
        <v>2712.0408470000002</v>
      </c>
    </row>
    <row r="3" spans="1:6" x14ac:dyDescent="0.5">
      <c r="A3" s="57" t="s">
        <v>34</v>
      </c>
      <c r="B3" s="58">
        <v>41760</v>
      </c>
      <c r="C3" s="57" t="s">
        <v>17</v>
      </c>
      <c r="D3" s="39">
        <v>675.94630000000006</v>
      </c>
      <c r="E3" s="39">
        <v>1420.1610000000001</v>
      </c>
      <c r="F3" s="39">
        <v>2870.8858300000002</v>
      </c>
    </row>
    <row r="4" spans="1:6" x14ac:dyDescent="0.5">
      <c r="A4" s="57" t="s">
        <v>34</v>
      </c>
      <c r="B4" s="58">
        <v>41791</v>
      </c>
      <c r="C4" s="57" t="s">
        <v>18</v>
      </c>
      <c r="D4" s="39">
        <v>556.70259999999996</v>
      </c>
      <c r="E4" s="39">
        <v>1681.3579999999999</v>
      </c>
      <c r="F4" s="39">
        <v>2849.0391199999999</v>
      </c>
    </row>
    <row r="5" spans="1:6" x14ac:dyDescent="0.5">
      <c r="A5" s="57" t="s">
        <v>34</v>
      </c>
      <c r="B5" s="58">
        <v>41821</v>
      </c>
      <c r="C5" s="57" t="s">
        <v>19</v>
      </c>
      <c r="D5" s="39">
        <v>487.65070000000003</v>
      </c>
      <c r="E5" s="39">
        <v>1253.04</v>
      </c>
      <c r="F5" s="39">
        <v>2315.7829999999999</v>
      </c>
    </row>
    <row r="6" spans="1:6" x14ac:dyDescent="0.5">
      <c r="A6" s="57" t="s">
        <v>34</v>
      </c>
      <c r="B6" s="58">
        <v>41852</v>
      </c>
      <c r="C6" s="57" t="s">
        <v>20</v>
      </c>
      <c r="D6" s="39">
        <v>389.44059999999996</v>
      </c>
      <c r="E6" s="39">
        <v>1636.3320000000001</v>
      </c>
      <c r="F6" s="39">
        <v>2389.2903230000002</v>
      </c>
    </row>
    <row r="7" spans="1:6" x14ac:dyDescent="0.5">
      <c r="A7" s="57" t="s">
        <v>34</v>
      </c>
      <c r="B7" s="58">
        <v>41883</v>
      </c>
      <c r="C7" s="57" t="s">
        <v>21</v>
      </c>
      <c r="D7" s="39">
        <v>389.55259999999998</v>
      </c>
      <c r="E7" s="39">
        <v>1228.443</v>
      </c>
      <c r="F7" s="39">
        <v>2308.074075</v>
      </c>
    </row>
    <row r="8" spans="1:6" x14ac:dyDescent="0.5">
      <c r="A8" s="57" t="s">
        <v>9</v>
      </c>
      <c r="B8" s="58">
        <v>41913</v>
      </c>
      <c r="C8" s="57" t="s">
        <v>10</v>
      </c>
      <c r="D8" s="39">
        <v>790.44</v>
      </c>
      <c r="E8" s="39">
        <v>1180.8969999999999</v>
      </c>
      <c r="F8" s="39">
        <v>2043.692865</v>
      </c>
    </row>
    <row r="9" spans="1:6" x14ac:dyDescent="0.5">
      <c r="A9" s="57" t="s">
        <v>9</v>
      </c>
      <c r="B9" s="58">
        <v>41944</v>
      </c>
      <c r="C9" s="57" t="s">
        <v>11</v>
      </c>
      <c r="D9" s="39">
        <v>1189.0838000000001</v>
      </c>
      <c r="E9" s="39">
        <v>981.375</v>
      </c>
      <c r="F9" s="39">
        <v>2118.7378100000001</v>
      </c>
    </row>
    <row r="10" spans="1:6" x14ac:dyDescent="0.5">
      <c r="A10" s="57" t="s">
        <v>9</v>
      </c>
      <c r="B10" s="58">
        <v>41974</v>
      </c>
      <c r="C10" s="57" t="s">
        <v>12</v>
      </c>
      <c r="D10" s="39">
        <v>1230.7578000000001</v>
      </c>
      <c r="E10" s="39">
        <v>869.06600000000003</v>
      </c>
      <c r="F10" s="39">
        <v>1616.229585</v>
      </c>
    </row>
    <row r="11" spans="1:6" x14ac:dyDescent="0.5">
      <c r="A11" s="57" t="s">
        <v>9</v>
      </c>
      <c r="B11" s="58">
        <v>42005</v>
      </c>
      <c r="C11" s="57" t="s">
        <v>13</v>
      </c>
      <c r="D11" s="39">
        <v>1375.5540000000001</v>
      </c>
      <c r="E11" s="39">
        <v>906.06299999999999</v>
      </c>
      <c r="F11" s="39">
        <v>1423.1727900000001</v>
      </c>
    </row>
    <row r="12" spans="1:6" x14ac:dyDescent="0.5">
      <c r="A12" s="57" t="s">
        <v>9</v>
      </c>
      <c r="B12" s="58">
        <v>42036</v>
      </c>
      <c r="C12" s="57" t="s">
        <v>14</v>
      </c>
      <c r="D12" s="39">
        <v>1127.2797</v>
      </c>
      <c r="E12" s="39">
        <v>685.50599999999997</v>
      </c>
      <c r="F12" s="39">
        <v>1573.833468</v>
      </c>
    </row>
    <row r="13" spans="1:6" x14ac:dyDescent="0.5">
      <c r="A13" s="57" t="s">
        <v>9</v>
      </c>
      <c r="B13" s="58">
        <v>42064</v>
      </c>
      <c r="C13" s="57" t="s">
        <v>15</v>
      </c>
      <c r="D13" s="39">
        <v>1148.9066</v>
      </c>
      <c r="E13" s="39">
        <v>1335.499</v>
      </c>
      <c r="F13" s="39">
        <v>1242.5270800000001</v>
      </c>
    </row>
    <row r="14" spans="1:6" x14ac:dyDescent="0.5">
      <c r="A14" s="57" t="s">
        <v>9</v>
      </c>
      <c r="B14" s="58">
        <v>42095</v>
      </c>
      <c r="C14" s="57" t="s">
        <v>16</v>
      </c>
      <c r="D14" s="39">
        <v>1121.3405</v>
      </c>
      <c r="E14" s="39">
        <v>1197.643</v>
      </c>
      <c r="F14" s="39">
        <v>2582.0219350000002</v>
      </c>
    </row>
    <row r="15" spans="1:6" x14ac:dyDescent="0.5">
      <c r="A15" s="57" t="s">
        <v>9</v>
      </c>
      <c r="B15" s="58">
        <v>42125</v>
      </c>
      <c r="C15" s="57" t="s">
        <v>17</v>
      </c>
      <c r="D15" s="39">
        <v>872.29009999999994</v>
      </c>
      <c r="E15" s="39">
        <v>1588.954</v>
      </c>
      <c r="F15" s="39">
        <v>2013.286701</v>
      </c>
    </row>
    <row r="16" spans="1:6" x14ac:dyDescent="0.5">
      <c r="A16" s="57" t="s">
        <v>9</v>
      </c>
      <c r="B16" s="58">
        <v>42156</v>
      </c>
      <c r="C16" s="57" t="s">
        <v>18</v>
      </c>
      <c r="D16" s="39">
        <v>885.75850000000003</v>
      </c>
      <c r="E16" s="39">
        <v>1622.768</v>
      </c>
      <c r="F16" s="39">
        <v>3005.8048520000002</v>
      </c>
    </row>
    <row r="17" spans="1:6" x14ac:dyDescent="0.5">
      <c r="A17" s="57" t="s">
        <v>9</v>
      </c>
      <c r="B17" s="58">
        <v>42186</v>
      </c>
      <c r="C17" s="57" t="s">
        <v>19</v>
      </c>
      <c r="D17" s="39">
        <v>710.85530000000006</v>
      </c>
      <c r="E17" s="39">
        <v>1709.4469999999999</v>
      </c>
      <c r="F17" s="39">
        <v>3206.3760109999998</v>
      </c>
    </row>
    <row r="18" spans="1:6" x14ac:dyDescent="0.5">
      <c r="A18" s="57" t="s">
        <v>9</v>
      </c>
      <c r="B18" s="58">
        <v>42217</v>
      </c>
      <c r="C18" s="57" t="s">
        <v>20</v>
      </c>
      <c r="D18" s="39">
        <v>770.31719999999996</v>
      </c>
      <c r="E18" s="39">
        <v>1109.4590000000001</v>
      </c>
      <c r="F18" s="39">
        <v>2656.8343279999999</v>
      </c>
    </row>
    <row r="19" spans="1:6" x14ac:dyDescent="0.5">
      <c r="A19" s="57" t="s">
        <v>9</v>
      </c>
      <c r="B19" s="58">
        <v>42248</v>
      </c>
      <c r="C19" s="57" t="s">
        <v>21</v>
      </c>
      <c r="D19" s="39">
        <v>552.43849999999998</v>
      </c>
      <c r="E19" s="39">
        <v>1103.261</v>
      </c>
      <c r="F19" s="39">
        <v>2867.5710600000002</v>
      </c>
    </row>
    <row r="20" spans="1:6" x14ac:dyDescent="0.5">
      <c r="A20" s="57" t="s">
        <v>22</v>
      </c>
      <c r="B20" s="58">
        <v>42278</v>
      </c>
      <c r="C20" s="57" t="s">
        <v>10</v>
      </c>
      <c r="D20" s="39">
        <v>806.86279999999999</v>
      </c>
      <c r="E20" s="39">
        <v>1398.759</v>
      </c>
      <c r="F20" s="39">
        <v>2585.950695</v>
      </c>
    </row>
    <row r="21" spans="1:6" x14ac:dyDescent="0.5">
      <c r="A21" s="57" t="s">
        <v>22</v>
      </c>
      <c r="B21" s="58">
        <v>42309</v>
      </c>
      <c r="C21" s="57" t="s">
        <v>11</v>
      </c>
      <c r="D21" s="39">
        <v>1057.8246000000001</v>
      </c>
      <c r="E21" s="39">
        <v>1126.5719999999999</v>
      </c>
      <c r="F21" s="39">
        <v>1734.4706699999999</v>
      </c>
    </row>
    <row r="22" spans="1:6" x14ac:dyDescent="0.5">
      <c r="A22" s="57" t="s">
        <v>22</v>
      </c>
      <c r="B22" s="58">
        <v>42339</v>
      </c>
      <c r="C22" s="57" t="s">
        <v>12</v>
      </c>
      <c r="D22" s="39">
        <v>964.83140000000003</v>
      </c>
      <c r="E22" s="39">
        <v>11482.258</v>
      </c>
      <c r="F22" s="39">
        <v>1774.5741149999999</v>
      </c>
    </row>
    <row r="23" spans="1:6" x14ac:dyDescent="0.5">
      <c r="A23" s="57" t="s">
        <v>22</v>
      </c>
      <c r="B23" s="58">
        <v>42370</v>
      </c>
      <c r="C23" s="57" t="s">
        <v>13</v>
      </c>
      <c r="D23" s="39">
        <v>989.43880000000001</v>
      </c>
      <c r="E23" s="39">
        <v>1184.9269999999999</v>
      </c>
      <c r="F23" s="39">
        <v>2704.4667250000002</v>
      </c>
    </row>
    <row r="24" spans="1:6" x14ac:dyDescent="0.5">
      <c r="A24" s="57" t="s">
        <v>22</v>
      </c>
      <c r="B24" s="58">
        <v>42401</v>
      </c>
      <c r="C24" s="57" t="s">
        <v>14</v>
      </c>
      <c r="D24" s="39">
        <v>1087.0683999999999</v>
      </c>
      <c r="E24" s="39">
        <v>838.197</v>
      </c>
      <c r="F24" s="39">
        <v>2339.2083200000002</v>
      </c>
    </row>
    <row r="25" spans="1:6" x14ac:dyDescent="0.5">
      <c r="A25" s="57" t="s">
        <v>22</v>
      </c>
      <c r="B25" s="58">
        <v>42430</v>
      </c>
      <c r="C25" s="57" t="s">
        <v>15</v>
      </c>
      <c r="D25" s="39">
        <v>908.03069999999991</v>
      </c>
      <c r="E25" s="39">
        <v>1496.672</v>
      </c>
      <c r="F25" s="39">
        <v>1946.5348349999999</v>
      </c>
    </row>
    <row r="26" spans="1:6" x14ac:dyDescent="0.5">
      <c r="A26" s="57" t="s">
        <v>22</v>
      </c>
      <c r="B26" s="58">
        <v>42461</v>
      </c>
      <c r="C26" s="57" t="s">
        <v>16</v>
      </c>
      <c r="D26" s="39">
        <v>958.13109999999995</v>
      </c>
      <c r="E26" s="39">
        <v>1431.172</v>
      </c>
      <c r="F26" s="39">
        <v>2219.7593449999999</v>
      </c>
    </row>
    <row r="27" spans="1:6" x14ac:dyDescent="0.5">
      <c r="A27" s="57" t="s">
        <v>22</v>
      </c>
      <c r="B27" s="58">
        <v>42491</v>
      </c>
      <c r="C27" s="57" t="s">
        <v>17</v>
      </c>
      <c r="D27" s="39">
        <v>945.51599999999996</v>
      </c>
      <c r="E27" s="39">
        <v>1928.9690000000001</v>
      </c>
      <c r="F27" s="39">
        <v>3004.6766899999998</v>
      </c>
    </row>
    <row r="28" spans="1:6" x14ac:dyDescent="0.5">
      <c r="A28" s="57" t="s">
        <v>22</v>
      </c>
      <c r="B28" s="58">
        <v>42522</v>
      </c>
      <c r="C28" s="57" t="s">
        <v>18</v>
      </c>
      <c r="D28" s="39">
        <v>680.85450000000003</v>
      </c>
      <c r="E28" s="39">
        <v>1565.4749999999999</v>
      </c>
      <c r="F28" s="39">
        <v>2823.62653</v>
      </c>
    </row>
    <row r="29" spans="1:6" x14ac:dyDescent="0.5">
      <c r="A29" s="57" t="s">
        <v>22</v>
      </c>
      <c r="B29" s="58">
        <v>42552</v>
      </c>
      <c r="C29" s="57" t="s">
        <v>19</v>
      </c>
      <c r="D29" s="39">
        <v>880.18230000000005</v>
      </c>
      <c r="E29" s="39">
        <v>1385.798</v>
      </c>
      <c r="F29" s="39">
        <v>2271.7995850000002</v>
      </c>
    </row>
    <row r="30" spans="1:6" x14ac:dyDescent="0.5">
      <c r="A30" s="57" t="s">
        <v>22</v>
      </c>
      <c r="B30" s="58">
        <v>42583</v>
      </c>
      <c r="C30" s="57" t="s">
        <v>20</v>
      </c>
      <c r="D30" s="39">
        <v>678.7731</v>
      </c>
      <c r="E30" s="39">
        <v>1092.963</v>
      </c>
      <c r="F30" s="39">
        <v>2442.0900499999998</v>
      </c>
    </row>
    <row r="31" spans="1:6" x14ac:dyDescent="0.5">
      <c r="A31" s="57" t="s">
        <v>22</v>
      </c>
      <c r="B31" s="58">
        <v>42614</v>
      </c>
      <c r="C31" s="57" t="s">
        <v>21</v>
      </c>
      <c r="D31" s="39">
        <v>803.05250000000001</v>
      </c>
      <c r="E31" s="39">
        <v>915.31700000000001</v>
      </c>
      <c r="F31" s="39">
        <v>2280.8139230000002</v>
      </c>
    </row>
    <row r="32" spans="1:6" x14ac:dyDescent="0.5">
      <c r="A32" s="57" t="s">
        <v>23</v>
      </c>
      <c r="B32" s="58">
        <v>42644</v>
      </c>
      <c r="C32" s="57" t="s">
        <v>10</v>
      </c>
      <c r="D32" s="39">
        <v>843.18859999999995</v>
      </c>
      <c r="E32" s="39">
        <v>724.67499999999995</v>
      </c>
      <c r="F32" s="39">
        <v>2404.463225</v>
      </c>
    </row>
    <row r="33" spans="1:6" x14ac:dyDescent="0.5">
      <c r="A33" s="57" t="s">
        <v>23</v>
      </c>
      <c r="B33" s="58">
        <v>42675</v>
      </c>
      <c r="C33" s="57" t="s">
        <v>11</v>
      </c>
      <c r="D33" s="39">
        <v>915.14280000000008</v>
      </c>
      <c r="E33" s="39">
        <v>867.67899999999997</v>
      </c>
      <c r="F33" s="39">
        <v>2559.3995300000001</v>
      </c>
    </row>
    <row r="34" spans="1:6" x14ac:dyDescent="0.5">
      <c r="A34" s="57" t="s">
        <v>23</v>
      </c>
      <c r="B34" s="58">
        <v>42705</v>
      </c>
      <c r="C34" s="57" t="s">
        <v>12</v>
      </c>
      <c r="D34" s="39">
        <v>849.85550000000001</v>
      </c>
      <c r="E34" s="39">
        <v>1012.059</v>
      </c>
      <c r="F34" s="39">
        <v>2088.1815449999999</v>
      </c>
    </row>
    <row r="35" spans="1:6" x14ac:dyDescent="0.5">
      <c r="A35" s="57" t="s">
        <v>23</v>
      </c>
      <c r="B35" s="58">
        <v>42736</v>
      </c>
      <c r="C35" s="57" t="s">
        <v>13</v>
      </c>
      <c r="D35" s="39">
        <v>1183.1788000000001</v>
      </c>
      <c r="E35" s="39">
        <v>1391.6279999999999</v>
      </c>
      <c r="F35" s="39">
        <v>2532.3005699999999</v>
      </c>
    </row>
    <row r="36" spans="1:6" x14ac:dyDescent="0.5">
      <c r="A36" s="57" t="s">
        <v>23</v>
      </c>
      <c r="B36" s="58">
        <v>42767</v>
      </c>
      <c r="C36" s="57" t="s">
        <v>14</v>
      </c>
      <c r="D36" s="39">
        <v>945.13649999999996</v>
      </c>
      <c r="E36" s="39">
        <v>711.07899999999995</v>
      </c>
      <c r="F36" s="39">
        <v>2018.029994</v>
      </c>
    </row>
    <row r="37" spans="1:6" x14ac:dyDescent="0.5">
      <c r="A37" s="57" t="s">
        <v>23</v>
      </c>
      <c r="B37" s="58">
        <v>42795</v>
      </c>
      <c r="C37" s="57" t="s">
        <v>15</v>
      </c>
      <c r="D37" s="39">
        <v>1305.7076000000002</v>
      </c>
      <c r="E37" s="39">
        <v>1158.3119999999999</v>
      </c>
      <c r="F37" s="39">
        <v>2247.7055540000001</v>
      </c>
    </row>
    <row r="38" spans="1:6" x14ac:dyDescent="0.5">
      <c r="A38" s="57" t="s">
        <v>23</v>
      </c>
      <c r="B38" s="58">
        <v>42826</v>
      </c>
      <c r="C38" s="57" t="s">
        <v>16</v>
      </c>
      <c r="D38" s="39">
        <v>809.67939999999999</v>
      </c>
      <c r="E38" s="39">
        <v>1328.491</v>
      </c>
      <c r="F38" s="39">
        <v>2471.8369299999999</v>
      </c>
    </row>
    <row r="39" spans="1:6" x14ac:dyDescent="0.5">
      <c r="A39" s="57" t="s">
        <v>23</v>
      </c>
      <c r="B39" s="58">
        <v>42856</v>
      </c>
      <c r="C39" s="57" t="s">
        <v>17</v>
      </c>
      <c r="D39" s="39">
        <v>716.36130000000003</v>
      </c>
      <c r="E39" s="39">
        <v>1629.5170000000001</v>
      </c>
      <c r="F39" s="39">
        <v>2737.7987750000002</v>
      </c>
    </row>
    <row r="40" spans="1:6" x14ac:dyDescent="0.5">
      <c r="A40" s="57" t="s">
        <v>23</v>
      </c>
      <c r="B40" s="58">
        <v>42887</v>
      </c>
      <c r="C40" s="57" t="s">
        <v>18</v>
      </c>
      <c r="D40" s="39">
        <v>758.03880000000004</v>
      </c>
      <c r="E40" s="39">
        <v>1391.0260000000001</v>
      </c>
      <c r="F40" s="39">
        <v>2543.95471</v>
      </c>
    </row>
    <row r="41" spans="1:6" x14ac:dyDescent="0.5">
      <c r="A41" s="57" t="s">
        <v>23</v>
      </c>
      <c r="B41" s="58">
        <v>42917</v>
      </c>
      <c r="C41" s="57" t="s">
        <v>19</v>
      </c>
      <c r="D41" s="39">
        <v>695.3107</v>
      </c>
      <c r="E41" s="39">
        <v>1156.0160000000001</v>
      </c>
      <c r="F41" s="39">
        <v>2707.4223050000001</v>
      </c>
    </row>
    <row r="42" spans="1:6" x14ac:dyDescent="0.5">
      <c r="A42" s="57" t="s">
        <v>23</v>
      </c>
      <c r="B42" s="58">
        <v>42948</v>
      </c>
      <c r="C42" s="57" t="s">
        <v>20</v>
      </c>
      <c r="D42" s="39">
        <v>787.904</v>
      </c>
      <c r="E42" s="39">
        <v>1226.5360000000001</v>
      </c>
      <c r="F42" s="39">
        <v>2674.8355299999998</v>
      </c>
    </row>
    <row r="43" spans="1:6" x14ac:dyDescent="0.5">
      <c r="A43" s="57" t="s">
        <v>23</v>
      </c>
      <c r="B43" s="58">
        <v>42979</v>
      </c>
      <c r="C43" s="57" t="s">
        <v>21</v>
      </c>
      <c r="D43" s="39">
        <v>616.38030000000003</v>
      </c>
      <c r="E43" s="39">
        <v>1163.2670000000001</v>
      </c>
      <c r="F43" s="39">
        <v>2221.7282110000001</v>
      </c>
    </row>
    <row r="44" spans="1:6" x14ac:dyDescent="0.5">
      <c r="A44" s="57" t="s">
        <v>24</v>
      </c>
      <c r="B44" s="58">
        <v>43009</v>
      </c>
      <c r="C44" s="57" t="s">
        <v>10</v>
      </c>
      <c r="D44" s="39">
        <v>700.6146</v>
      </c>
      <c r="E44" s="39">
        <v>1275.825</v>
      </c>
      <c r="F44" s="39">
        <v>2223.8750249999998</v>
      </c>
    </row>
    <row r="45" spans="1:6" x14ac:dyDescent="0.5">
      <c r="A45" s="57" t="s">
        <v>24</v>
      </c>
      <c r="B45" s="58">
        <v>43040</v>
      </c>
      <c r="C45" s="57" t="s">
        <v>11</v>
      </c>
      <c r="D45" s="39">
        <v>999.34190000000001</v>
      </c>
      <c r="E45" s="39">
        <v>1071.896</v>
      </c>
      <c r="F45" s="39">
        <v>2296.8100679999998</v>
      </c>
    </row>
    <row r="46" spans="1:6" x14ac:dyDescent="0.5">
      <c r="A46" s="57" t="s">
        <v>24</v>
      </c>
      <c r="B46" s="58">
        <v>43070</v>
      </c>
      <c r="C46" s="57" t="s">
        <v>12</v>
      </c>
      <c r="D46" s="39">
        <v>1067.0601000000001</v>
      </c>
      <c r="E46" s="39">
        <v>674.06200000000001</v>
      </c>
      <c r="F46" s="39">
        <v>1586.22705</v>
      </c>
    </row>
    <row r="47" spans="1:6" x14ac:dyDescent="0.5">
      <c r="A47" s="57" t="s">
        <v>24</v>
      </c>
      <c r="B47" s="58">
        <v>43101</v>
      </c>
      <c r="C47" s="57" t="s">
        <v>13</v>
      </c>
      <c r="D47" s="39">
        <v>1060.1816000000001</v>
      </c>
      <c r="E47" s="39">
        <v>1127.836</v>
      </c>
      <c r="F47" s="39">
        <v>2052.183665</v>
      </c>
    </row>
    <row r="48" spans="1:6" x14ac:dyDescent="0.5">
      <c r="A48" s="57" t="s">
        <v>24</v>
      </c>
      <c r="B48" s="58">
        <v>43132</v>
      </c>
      <c r="C48" s="57" t="s">
        <v>14</v>
      </c>
      <c r="D48" s="39">
        <v>1114.3423</v>
      </c>
      <c r="E48" s="39">
        <v>1354.6759999999999</v>
      </c>
      <c r="F48" s="39">
        <v>1766.41842</v>
      </c>
    </row>
    <row r="49" spans="1:6" x14ac:dyDescent="0.5">
      <c r="A49" s="57" t="s">
        <v>24</v>
      </c>
      <c r="B49" s="58">
        <v>43160</v>
      </c>
      <c r="C49" s="57" t="s">
        <v>15</v>
      </c>
      <c r="D49" s="39">
        <v>1198.701</v>
      </c>
      <c r="E49" s="39">
        <v>1323.2919999999999</v>
      </c>
      <c r="F49" s="39">
        <v>1983.2486650000001</v>
      </c>
    </row>
    <row r="50" spans="1:6" x14ac:dyDescent="0.5">
      <c r="A50" s="57" t="s">
        <v>24</v>
      </c>
      <c r="B50" s="58">
        <v>43191</v>
      </c>
      <c r="C50" s="57" t="s">
        <v>16</v>
      </c>
      <c r="D50" s="39">
        <v>1092.3976</v>
      </c>
      <c r="E50" s="39">
        <v>1552.538</v>
      </c>
      <c r="F50" s="39">
        <v>1959.40182</v>
      </c>
    </row>
    <row r="51" spans="1:6" x14ac:dyDescent="0.5">
      <c r="A51" s="57" t="s">
        <v>24</v>
      </c>
      <c r="B51" s="58">
        <v>43221</v>
      </c>
      <c r="C51" s="57" t="s">
        <v>17</v>
      </c>
      <c r="D51" s="39">
        <v>1146.2723000000001</v>
      </c>
      <c r="E51" s="39">
        <v>1652.9059999999999</v>
      </c>
      <c r="F51" s="39">
        <v>2305.0092140000002</v>
      </c>
    </row>
    <row r="52" spans="1:6" x14ac:dyDescent="0.5">
      <c r="A52" s="57" t="s">
        <v>24</v>
      </c>
      <c r="B52" s="58">
        <v>43252</v>
      </c>
      <c r="C52" s="57" t="s">
        <v>18</v>
      </c>
      <c r="D52" s="39">
        <v>1240.7723000000001</v>
      </c>
      <c r="E52" s="39">
        <v>1559.643</v>
      </c>
      <c r="F52" s="39">
        <v>2083.7672400000001</v>
      </c>
    </row>
    <row r="53" spans="1:6" x14ac:dyDescent="0.5">
      <c r="A53" s="57" t="s">
        <v>24</v>
      </c>
      <c r="B53" s="58">
        <v>43282</v>
      </c>
      <c r="C53" s="57" t="s">
        <v>19</v>
      </c>
      <c r="D53" s="39">
        <v>954.84309999999994</v>
      </c>
      <c r="E53" s="39">
        <v>1729.626</v>
      </c>
      <c r="F53" s="39">
        <v>2013.916598</v>
      </c>
    </row>
    <row r="54" spans="1:6" x14ac:dyDescent="0.5">
      <c r="A54" s="57" t="s">
        <v>24</v>
      </c>
      <c r="B54" s="58">
        <v>43313</v>
      </c>
      <c r="C54" s="57" t="s">
        <v>20</v>
      </c>
      <c r="D54" s="39">
        <v>1076.2194999999999</v>
      </c>
      <c r="E54" s="39">
        <v>1455.2809999999999</v>
      </c>
      <c r="F54" s="39">
        <v>1979.0604000000001</v>
      </c>
    </row>
    <row r="55" spans="1:6" x14ac:dyDescent="0.5">
      <c r="A55" s="57" t="s">
        <v>24</v>
      </c>
      <c r="B55" s="58">
        <v>43344</v>
      </c>
      <c r="C55" s="57" t="s">
        <v>21</v>
      </c>
      <c r="D55" s="39">
        <v>927.97390000000007</v>
      </c>
      <c r="E55" s="39">
        <v>1254.2249999999999</v>
      </c>
      <c r="F55" s="39">
        <v>2257.9809220000002</v>
      </c>
    </row>
    <row r="56" spans="1:6" x14ac:dyDescent="0.5">
      <c r="A56" s="57" t="s">
        <v>25</v>
      </c>
      <c r="B56" s="58">
        <v>43374</v>
      </c>
      <c r="C56" s="57" t="s">
        <v>10</v>
      </c>
      <c r="D56" s="39">
        <v>991.57560000000001</v>
      </c>
      <c r="E56" s="39">
        <v>1122.789</v>
      </c>
      <c r="F56" s="39">
        <v>2165.358025</v>
      </c>
    </row>
    <row r="57" spans="1:6" x14ac:dyDescent="0.5">
      <c r="A57" s="57" t="s">
        <v>25</v>
      </c>
      <c r="B57" s="58">
        <v>43405</v>
      </c>
      <c r="C57" s="57" t="s">
        <v>11</v>
      </c>
      <c r="D57" s="39">
        <v>1030.7607</v>
      </c>
      <c r="E57" s="39">
        <v>1047.499</v>
      </c>
      <c r="F57" s="39">
        <v>1931.5445500000001</v>
      </c>
    </row>
    <row r="58" spans="1:6" x14ac:dyDescent="0.5">
      <c r="A58" s="57" t="s">
        <v>25</v>
      </c>
      <c r="B58" s="58">
        <v>43435</v>
      </c>
      <c r="C58" s="57" t="s">
        <v>12</v>
      </c>
      <c r="D58" s="39">
        <v>1018.1319</v>
      </c>
      <c r="E58" s="39">
        <v>1492.239</v>
      </c>
      <c r="F58" s="39">
        <v>1724.29141</v>
      </c>
    </row>
    <row r="59" spans="1:6" x14ac:dyDescent="0.5">
      <c r="A59" s="57" t="s">
        <v>25</v>
      </c>
      <c r="B59" s="58">
        <v>43466</v>
      </c>
      <c r="C59" s="57" t="s">
        <v>13</v>
      </c>
      <c r="D59" s="39">
        <v>1382.2439999999999</v>
      </c>
      <c r="E59" s="39">
        <v>1236.4849999999999</v>
      </c>
      <c r="F59" s="39">
        <v>1912.2972950000001</v>
      </c>
    </row>
    <row r="60" spans="1:6" x14ac:dyDescent="0.5">
      <c r="A60" s="57" t="s">
        <v>25</v>
      </c>
      <c r="B60" s="58">
        <v>43497</v>
      </c>
      <c r="C60" s="57" t="s">
        <v>14</v>
      </c>
      <c r="D60" s="39">
        <v>976.70209999999997</v>
      </c>
      <c r="E60" s="39">
        <v>904.79899999999998</v>
      </c>
      <c r="F60" s="39">
        <v>1626.71766</v>
      </c>
    </row>
    <row r="61" spans="1:6" x14ac:dyDescent="0.5">
      <c r="A61" s="57" t="s">
        <v>25</v>
      </c>
      <c r="B61" s="58">
        <v>43525</v>
      </c>
      <c r="C61" s="57" t="s">
        <v>15</v>
      </c>
      <c r="D61" s="39">
        <v>1056.7545</v>
      </c>
      <c r="E61" s="39">
        <v>1409.2729999999999</v>
      </c>
      <c r="F61" s="39">
        <v>2150.3913600000001</v>
      </c>
    </row>
    <row r="62" spans="1:6" x14ac:dyDescent="0.5">
      <c r="A62" s="57" t="s">
        <v>25</v>
      </c>
      <c r="B62" s="58">
        <v>43556</v>
      </c>
      <c r="C62" s="57" t="s">
        <v>16</v>
      </c>
      <c r="D62" s="39">
        <v>1241.0418</v>
      </c>
      <c r="E62" s="39">
        <v>1443.682</v>
      </c>
      <c r="F62" s="39">
        <v>2380.2538100000002</v>
      </c>
    </row>
    <row r="63" spans="1:6" x14ac:dyDescent="0.5">
      <c r="A63" s="57" t="s">
        <v>25</v>
      </c>
      <c r="B63" s="58">
        <v>43586</v>
      </c>
      <c r="C63" s="57" t="s">
        <v>17</v>
      </c>
      <c r="D63" s="39">
        <v>955.86709999999994</v>
      </c>
      <c r="E63" s="39">
        <v>1612.133</v>
      </c>
      <c r="F63" s="39">
        <v>2796.5674749999998</v>
      </c>
    </row>
    <row r="64" spans="1:6" x14ac:dyDescent="0.5">
      <c r="A64" s="57" t="s">
        <v>25</v>
      </c>
      <c r="B64" s="58">
        <v>43617</v>
      </c>
      <c r="C64" s="57" t="s">
        <v>18</v>
      </c>
      <c r="D64" s="39">
        <v>733.61659999999995</v>
      </c>
      <c r="E64" s="39">
        <v>1629.259</v>
      </c>
      <c r="F64" s="39">
        <v>2686.0561769999999</v>
      </c>
    </row>
    <row r="65" spans="1:6" x14ac:dyDescent="0.5">
      <c r="A65" s="57" t="s">
        <v>25</v>
      </c>
      <c r="B65" s="58">
        <v>43647</v>
      </c>
      <c r="C65" s="57" t="s">
        <v>19</v>
      </c>
      <c r="D65" s="39">
        <v>798.25969999999995</v>
      </c>
      <c r="E65" s="39">
        <v>1472.26</v>
      </c>
      <c r="F65" s="39">
        <v>2750.1498529999999</v>
      </c>
    </row>
    <row r="66" spans="1:6" x14ac:dyDescent="0.5">
      <c r="A66" s="57" t="s">
        <v>25</v>
      </c>
      <c r="B66" s="58">
        <v>43678</v>
      </c>
      <c r="C66" s="57" t="s">
        <v>20</v>
      </c>
      <c r="D66" s="39">
        <v>932.48509999999999</v>
      </c>
      <c r="E66" s="39">
        <v>1355.702</v>
      </c>
      <c r="F66" s="39">
        <v>2139.8365549999999</v>
      </c>
    </row>
    <row r="67" spans="1:6" x14ac:dyDescent="0.5">
      <c r="A67" s="57" t="s">
        <v>25</v>
      </c>
      <c r="B67" s="58">
        <v>43709</v>
      </c>
      <c r="C67" s="57" t="s">
        <v>21</v>
      </c>
      <c r="D67" s="39">
        <v>847.4837</v>
      </c>
      <c r="E67" s="39">
        <v>1369.4870000000001</v>
      </c>
      <c r="F67" s="39">
        <v>2497.7851479999999</v>
      </c>
    </row>
    <row r="68" spans="1:6" x14ac:dyDescent="0.5">
      <c r="A68" s="57" t="s">
        <v>26</v>
      </c>
      <c r="B68" s="58">
        <v>43739</v>
      </c>
      <c r="C68" s="57" t="s">
        <v>10</v>
      </c>
      <c r="D68" s="39">
        <v>1011.0286</v>
      </c>
      <c r="E68" s="39">
        <v>1426.7090000000001</v>
      </c>
      <c r="F68" s="39">
        <v>2760.7755200000001</v>
      </c>
    </row>
    <row r="69" spans="1:6" x14ac:dyDescent="0.5">
      <c r="A69" s="57" t="s">
        <v>26</v>
      </c>
      <c r="B69" s="58">
        <v>43770</v>
      </c>
      <c r="C69" s="57" t="s">
        <v>11</v>
      </c>
      <c r="D69" s="39">
        <v>1119.6943999999999</v>
      </c>
      <c r="E69" s="39">
        <v>1185.8140000000001</v>
      </c>
      <c r="F69" s="39">
        <v>2225.8798700000002</v>
      </c>
    </row>
    <row r="70" spans="1:6" x14ac:dyDescent="0.5">
      <c r="A70" s="57" t="s">
        <v>26</v>
      </c>
      <c r="B70" s="58">
        <v>43800</v>
      </c>
      <c r="C70" s="57" t="s">
        <v>12</v>
      </c>
      <c r="D70" s="39">
        <v>975.31830000000002</v>
      </c>
      <c r="E70" s="39">
        <v>1637.259</v>
      </c>
      <c r="F70" s="39">
        <v>1944.6316750000001</v>
      </c>
    </row>
    <row r="71" spans="1:6" x14ac:dyDescent="0.5">
      <c r="A71" s="57" t="s">
        <v>26</v>
      </c>
      <c r="B71" s="58">
        <v>43831</v>
      </c>
      <c r="C71" s="57" t="s">
        <v>13</v>
      </c>
      <c r="D71" s="39">
        <v>957.56290000000001</v>
      </c>
      <c r="E71" s="39">
        <v>1016.429</v>
      </c>
      <c r="F71" s="39">
        <v>1654.599185</v>
      </c>
    </row>
    <row r="72" spans="1:6" x14ac:dyDescent="0.5">
      <c r="A72" s="57" t="s">
        <v>26</v>
      </c>
      <c r="B72" s="58">
        <v>43862</v>
      </c>
      <c r="C72" s="57" t="s">
        <v>14</v>
      </c>
      <c r="D72" s="39">
        <v>1212.9503999999999</v>
      </c>
      <c r="E72" s="39">
        <v>765.95399999999995</v>
      </c>
      <c r="F72" s="39">
        <v>1518.434205</v>
      </c>
    </row>
    <row r="73" spans="1:6" x14ac:dyDescent="0.5">
      <c r="A73" s="57" t="s">
        <v>26</v>
      </c>
      <c r="B73" s="58">
        <v>43891</v>
      </c>
      <c r="C73" s="57" t="s">
        <v>15</v>
      </c>
      <c r="D73" s="39">
        <v>1234.8973999999998</v>
      </c>
      <c r="E73" s="39">
        <v>1516.653</v>
      </c>
      <c r="F73" s="39">
        <v>1778.6776400000001</v>
      </c>
    </row>
    <row r="74" spans="1:6" x14ac:dyDescent="0.5">
      <c r="A74" s="57" t="s">
        <v>26</v>
      </c>
      <c r="B74" s="58">
        <v>43922</v>
      </c>
      <c r="C74" s="57" t="s">
        <v>16</v>
      </c>
      <c r="D74" s="39">
        <v>1084.8623</v>
      </c>
      <c r="E74" s="39">
        <v>1669.9090000000001</v>
      </c>
      <c r="F74" s="39">
        <v>2092.1222469999998</v>
      </c>
    </row>
    <row r="75" spans="1:6" x14ac:dyDescent="0.5">
      <c r="A75" s="57" t="s">
        <v>26</v>
      </c>
      <c r="B75" s="58">
        <v>43952</v>
      </c>
      <c r="C75" s="57" t="s">
        <v>17</v>
      </c>
      <c r="D75" s="39">
        <v>964.97239999999999</v>
      </c>
      <c r="E75" s="39">
        <v>1880.8489999999999</v>
      </c>
      <c r="F75" s="39">
        <v>2511.6162399999998</v>
      </c>
    </row>
    <row r="76" spans="1:6" x14ac:dyDescent="0.5">
      <c r="A76" s="57" t="s">
        <v>26</v>
      </c>
      <c r="B76" s="58">
        <v>43983</v>
      </c>
      <c r="C76" s="57" t="s">
        <v>18</v>
      </c>
      <c r="D76" s="39">
        <v>982.99790000000007</v>
      </c>
      <c r="E76" s="39">
        <v>1633.7470000000001</v>
      </c>
      <c r="F76" s="39">
        <v>2598.01766</v>
      </c>
    </row>
    <row r="77" spans="1:6" x14ac:dyDescent="0.5">
      <c r="A77" s="57" t="s">
        <v>26</v>
      </c>
      <c r="B77" s="58">
        <v>44013</v>
      </c>
      <c r="C77" s="57" t="s">
        <v>19</v>
      </c>
      <c r="D77" s="39">
        <v>991.56190000000004</v>
      </c>
      <c r="E77" s="39">
        <v>1713.606</v>
      </c>
      <c r="F77" s="39">
        <v>2149.1334099999999</v>
      </c>
    </row>
    <row r="78" spans="1:6" x14ac:dyDescent="0.5">
      <c r="A78" s="57" t="s">
        <v>26</v>
      </c>
      <c r="B78" s="58">
        <v>44044</v>
      </c>
      <c r="C78" s="57" t="s">
        <v>20</v>
      </c>
      <c r="D78" s="39">
        <v>1000.0356999999999</v>
      </c>
      <c r="E78" s="39">
        <v>1481.6279999999999</v>
      </c>
      <c r="F78" s="39">
        <v>2038.0167730000001</v>
      </c>
    </row>
    <row r="79" spans="1:6" x14ac:dyDescent="0.5">
      <c r="A79" s="57" t="s">
        <v>26</v>
      </c>
      <c r="B79" s="58">
        <v>44075</v>
      </c>
      <c r="C79" s="57" t="s">
        <v>21</v>
      </c>
      <c r="D79" s="39">
        <v>879.74680000000001</v>
      </c>
      <c r="E79" s="39">
        <v>1571.788</v>
      </c>
      <c r="F79" s="39">
        <v>2179.4563250000001</v>
      </c>
    </row>
    <row r="80" spans="1:6" x14ac:dyDescent="0.5">
      <c r="A80" s="57" t="s">
        <v>27</v>
      </c>
      <c r="B80" s="58">
        <v>44105</v>
      </c>
      <c r="C80" s="57" t="s">
        <v>10</v>
      </c>
      <c r="D80" s="39">
        <v>992.36019999999996</v>
      </c>
      <c r="E80" s="39">
        <v>1351.105</v>
      </c>
      <c r="F80" s="39">
        <v>2017.2990480000001</v>
      </c>
    </row>
    <row r="81" spans="1:6" x14ac:dyDescent="0.5">
      <c r="A81" s="57" t="s">
        <v>27</v>
      </c>
      <c r="B81" s="58">
        <v>44136</v>
      </c>
      <c r="C81" s="57" t="s">
        <v>11</v>
      </c>
      <c r="D81" s="39">
        <v>1141.6046999999999</v>
      </c>
      <c r="E81" s="39">
        <v>1392.0419999999999</v>
      </c>
      <c r="F81" s="39">
        <v>1943.233344</v>
      </c>
    </row>
    <row r="82" spans="1:6" x14ac:dyDescent="0.5">
      <c r="A82" s="57" t="s">
        <v>27</v>
      </c>
      <c r="B82" s="58">
        <v>44166</v>
      </c>
      <c r="C82" s="57" t="s">
        <v>12</v>
      </c>
      <c r="D82" s="39">
        <v>1304.5264999999999</v>
      </c>
      <c r="E82" s="39">
        <v>944.83199999999999</v>
      </c>
      <c r="F82" s="39">
        <v>642.48987499999998</v>
      </c>
    </row>
    <row r="83" spans="1:6" x14ac:dyDescent="0.5">
      <c r="A83" s="57" t="s">
        <v>27</v>
      </c>
      <c r="B83" s="58">
        <v>44197</v>
      </c>
      <c r="C83" s="57" t="s">
        <v>13</v>
      </c>
      <c r="D83" s="39">
        <v>1269.2266000000002</v>
      </c>
      <c r="E83" s="39">
        <v>1024.4259999999999</v>
      </c>
      <c r="F83" s="39">
        <v>2393.4992090000001</v>
      </c>
    </row>
    <row r="84" spans="1:6" x14ac:dyDescent="0.5">
      <c r="A84" s="57" t="s">
        <v>27</v>
      </c>
      <c r="B84" s="58">
        <v>44228</v>
      </c>
      <c r="C84" s="57" t="s">
        <v>14</v>
      </c>
      <c r="D84" s="39">
        <v>1146.4635000000001</v>
      </c>
      <c r="E84" s="39">
        <v>1040.2329999999999</v>
      </c>
      <c r="F84" s="39">
        <v>1865.2247050000001</v>
      </c>
    </row>
    <row r="85" spans="1:6" x14ac:dyDescent="0.5">
      <c r="A85" s="57" t="s">
        <v>27</v>
      </c>
      <c r="B85" s="58">
        <v>44256</v>
      </c>
      <c r="C85" s="57" t="s">
        <v>15</v>
      </c>
      <c r="D85" s="39">
        <v>1185.5998</v>
      </c>
      <c r="E85" s="39">
        <v>1184.6489999999999</v>
      </c>
      <c r="F85" s="39">
        <v>2280.0934400000001</v>
      </c>
    </row>
    <row r="86" spans="1:6" x14ac:dyDescent="0.5">
      <c r="A86" s="57" t="s">
        <v>27</v>
      </c>
      <c r="B86" s="58">
        <v>44287</v>
      </c>
      <c r="C86" s="57" t="s">
        <v>16</v>
      </c>
      <c r="D86" s="39">
        <v>931.67409999999995</v>
      </c>
      <c r="E86" s="39">
        <v>1390.9849999999999</v>
      </c>
      <c r="F86" s="39">
        <v>2874.77169</v>
      </c>
    </row>
    <row r="87" spans="1:6" x14ac:dyDescent="0.5">
      <c r="A87" s="57" t="s">
        <v>27</v>
      </c>
      <c r="B87" s="58">
        <v>44317</v>
      </c>
      <c r="C87" s="57" t="s">
        <v>17</v>
      </c>
      <c r="D87" s="39">
        <v>934.55919999999992</v>
      </c>
      <c r="E87" s="39">
        <v>1765.2449999999999</v>
      </c>
      <c r="F87" s="39">
        <v>2363.6659399999999</v>
      </c>
    </row>
    <row r="88" spans="1:6" x14ac:dyDescent="0.5">
      <c r="A88" s="57" t="s">
        <v>27</v>
      </c>
      <c r="B88" s="58">
        <v>44348</v>
      </c>
      <c r="C88" s="57" t="s">
        <v>18</v>
      </c>
      <c r="D88" s="39">
        <v>780.14319999999998</v>
      </c>
      <c r="E88" s="39">
        <v>1704.4680000000001</v>
      </c>
      <c r="F88" s="39">
        <v>2602.3300949999998</v>
      </c>
    </row>
    <row r="89" spans="1:6" x14ac:dyDescent="0.5">
      <c r="A89" s="57" t="s">
        <v>27</v>
      </c>
      <c r="B89" s="58">
        <v>44378</v>
      </c>
      <c r="C89" s="57" t="s">
        <v>19</v>
      </c>
      <c r="D89" s="39">
        <v>957.36119999999994</v>
      </c>
      <c r="E89" s="39">
        <v>1934.769</v>
      </c>
      <c r="F89" s="39">
        <v>2463.7022849999998</v>
      </c>
    </row>
    <row r="90" spans="1:6" x14ac:dyDescent="0.5">
      <c r="A90" s="57" t="s">
        <v>27</v>
      </c>
      <c r="B90" s="58">
        <v>44409</v>
      </c>
      <c r="C90" s="57" t="s">
        <v>20</v>
      </c>
      <c r="D90" s="39">
        <v>839.5761</v>
      </c>
      <c r="E90" s="39">
        <v>1544.93</v>
      </c>
      <c r="F90" s="39">
        <v>2461.9043270000002</v>
      </c>
    </row>
    <row r="91" spans="1:6" x14ac:dyDescent="0.5">
      <c r="A91" s="57" t="s">
        <v>27</v>
      </c>
      <c r="B91" s="58">
        <v>44440</v>
      </c>
      <c r="C91" s="57" t="s">
        <v>21</v>
      </c>
      <c r="D91" s="39">
        <v>756.23779999999999</v>
      </c>
      <c r="E91" s="39">
        <v>1298.9960000000001</v>
      </c>
      <c r="F91" s="39">
        <v>2534.6517480000002</v>
      </c>
    </row>
    <row r="92" spans="1:6" x14ac:dyDescent="0.5">
      <c r="A92" s="57" t="s">
        <v>28</v>
      </c>
      <c r="B92" s="58">
        <v>44470</v>
      </c>
      <c r="C92" s="57" t="s">
        <v>10</v>
      </c>
      <c r="D92" s="39">
        <v>975.82339999999999</v>
      </c>
      <c r="E92" s="39">
        <v>1318.903</v>
      </c>
      <c r="F92" s="39">
        <v>2247.5596519999999</v>
      </c>
    </row>
    <row r="93" spans="1:6" x14ac:dyDescent="0.5">
      <c r="A93" s="57" t="s">
        <v>28</v>
      </c>
      <c r="B93" s="58">
        <v>44501</v>
      </c>
      <c r="C93" s="57" t="s">
        <v>11</v>
      </c>
      <c r="D93" s="39">
        <v>1127.6281999999999</v>
      </c>
      <c r="E93" s="39">
        <v>1271.7260000000001</v>
      </c>
      <c r="F93" s="39">
        <v>1878.6816490000001</v>
      </c>
    </row>
    <row r="94" spans="1:6" x14ac:dyDescent="0.5">
      <c r="A94" s="57" t="s">
        <v>28</v>
      </c>
      <c r="B94" s="58">
        <v>44531</v>
      </c>
      <c r="C94" s="57" t="s">
        <v>12</v>
      </c>
      <c r="D94" s="39">
        <v>1263.1723999999999</v>
      </c>
      <c r="E94" s="39">
        <v>1669.9690000000001</v>
      </c>
      <c r="F94" s="39">
        <v>2010.3742480000001</v>
      </c>
    </row>
    <row r="95" spans="1:6" x14ac:dyDescent="0.5">
      <c r="A95" s="57" t="s">
        <v>28</v>
      </c>
      <c r="B95" s="58">
        <v>44562</v>
      </c>
      <c r="C95" s="57" t="s">
        <v>13</v>
      </c>
      <c r="D95" s="39">
        <v>1155.9494999999999</v>
      </c>
      <c r="E95" s="39">
        <v>1454.836</v>
      </c>
      <c r="F95" s="39">
        <v>1365.403636</v>
      </c>
    </row>
    <row r="96" spans="1:6" x14ac:dyDescent="0.5">
      <c r="A96" s="57" t="s">
        <v>28</v>
      </c>
      <c r="B96" s="58">
        <v>44593</v>
      </c>
      <c r="C96" s="57" t="s">
        <v>14</v>
      </c>
      <c r="D96" s="39">
        <v>986.69530000000009</v>
      </c>
      <c r="E96" s="39">
        <v>1561.0070000000001</v>
      </c>
      <c r="F96" s="39">
        <v>1849.6252549999999</v>
      </c>
    </row>
    <row r="97" spans="1:6" x14ac:dyDescent="0.5">
      <c r="A97" s="57" t="s">
        <v>28</v>
      </c>
      <c r="B97" s="58">
        <v>44621</v>
      </c>
      <c r="C97" s="57" t="s">
        <v>15</v>
      </c>
      <c r="D97" s="39">
        <v>1117.4251000000002</v>
      </c>
      <c r="E97" s="39">
        <v>1464.383</v>
      </c>
      <c r="F97" s="39">
        <v>2039.57692</v>
      </c>
    </row>
    <row r="98" spans="1:6" x14ac:dyDescent="0.5">
      <c r="A98" s="57" t="s">
        <v>28</v>
      </c>
      <c r="B98" s="58">
        <v>44652</v>
      </c>
      <c r="C98" s="57" t="s">
        <v>16</v>
      </c>
      <c r="D98" s="39">
        <v>1054.8268999999998</v>
      </c>
      <c r="E98" s="39">
        <v>1657.963</v>
      </c>
      <c r="F98" s="39">
        <v>2610.1212850000002</v>
      </c>
    </row>
    <row r="99" spans="1:6" x14ac:dyDescent="0.5">
      <c r="A99" s="57" t="s">
        <v>28</v>
      </c>
      <c r="B99" s="58">
        <v>44682</v>
      </c>
      <c r="C99" s="57" t="s">
        <v>17</v>
      </c>
      <c r="D99" s="39">
        <v>999.57749999999999</v>
      </c>
      <c r="E99" s="39">
        <v>1957.104</v>
      </c>
      <c r="F99" s="39">
        <v>2527.1488290000002</v>
      </c>
    </row>
    <row r="100" spans="1:6" x14ac:dyDescent="0.5">
      <c r="A100" s="57" t="s">
        <v>28</v>
      </c>
      <c r="B100" s="58">
        <v>44713</v>
      </c>
      <c r="C100" s="57" t="s">
        <v>18</v>
      </c>
      <c r="D100" s="39">
        <v>1028.2029</v>
      </c>
      <c r="E100" s="39">
        <v>2192.1210000000001</v>
      </c>
      <c r="F100" s="39">
        <v>2600.7954300000001</v>
      </c>
    </row>
    <row r="101" spans="1:6" x14ac:dyDescent="0.5">
      <c r="A101" s="57" t="s">
        <v>28</v>
      </c>
      <c r="B101" s="58">
        <v>44743</v>
      </c>
      <c r="C101" s="57" t="s">
        <v>19</v>
      </c>
      <c r="D101" s="39">
        <v>832.70269999999994</v>
      </c>
      <c r="E101" s="39">
        <v>1950.923</v>
      </c>
      <c r="F101" s="39">
        <v>2348.23612</v>
      </c>
    </row>
    <row r="102" spans="1:6" x14ac:dyDescent="0.5">
      <c r="A102" s="57" t="s">
        <v>28</v>
      </c>
      <c r="B102" s="58">
        <v>44774</v>
      </c>
      <c r="C102" s="57" t="s">
        <v>20</v>
      </c>
      <c r="D102" s="39">
        <v>806.89800000000002</v>
      </c>
      <c r="E102" s="39">
        <v>1812.7</v>
      </c>
      <c r="F102" s="39">
        <v>1681.499585</v>
      </c>
    </row>
    <row r="103" spans="1:6" x14ac:dyDescent="0.5">
      <c r="A103" s="57" t="s">
        <v>28</v>
      </c>
      <c r="B103" s="58">
        <v>44805</v>
      </c>
      <c r="C103" s="57" t="s">
        <v>21</v>
      </c>
      <c r="D103" s="39">
        <v>806.59769999999992</v>
      </c>
      <c r="E103" s="39">
        <v>1895.2919999999999</v>
      </c>
      <c r="F103" s="39">
        <v>1586.8694849999999</v>
      </c>
    </row>
    <row r="104" spans="1:6" x14ac:dyDescent="0.5">
      <c r="A104" s="57" t="s">
        <v>29</v>
      </c>
      <c r="B104" s="58">
        <v>44835</v>
      </c>
      <c r="C104" s="57" t="s">
        <v>10</v>
      </c>
      <c r="D104" s="39">
        <v>848.97430000000008</v>
      </c>
      <c r="E104" s="39">
        <v>1757.3710000000001</v>
      </c>
      <c r="F104" s="39">
        <v>2212.5406400000002</v>
      </c>
    </row>
    <row r="105" spans="1:6" x14ac:dyDescent="0.5">
      <c r="A105" s="57" t="s">
        <v>29</v>
      </c>
      <c r="B105" s="58">
        <v>44866</v>
      </c>
      <c r="C105" s="57" t="s">
        <v>11</v>
      </c>
      <c r="D105" s="39">
        <v>1077.6171999999999</v>
      </c>
      <c r="E105" s="39">
        <v>1509.5070000000001</v>
      </c>
      <c r="F105" s="39">
        <v>2327.4486099999999</v>
      </c>
    </row>
    <row r="106" spans="1:6" x14ac:dyDescent="0.5">
      <c r="A106" s="57" t="s">
        <v>29</v>
      </c>
      <c r="B106" s="58">
        <v>44896</v>
      </c>
      <c r="C106" s="57" t="s">
        <v>12</v>
      </c>
      <c r="D106" s="39">
        <v>1073.7941000000001</v>
      </c>
      <c r="E106" s="39">
        <v>1140.1289999999999</v>
      </c>
      <c r="F106" s="39">
        <v>1978.76433</v>
      </c>
    </row>
    <row r="107" spans="1:6" x14ac:dyDescent="0.5">
      <c r="A107" s="57" t="s">
        <v>29</v>
      </c>
      <c r="B107" s="58">
        <v>44927</v>
      </c>
      <c r="C107" s="57" t="s">
        <v>13</v>
      </c>
      <c r="D107" s="39">
        <v>1369.5563</v>
      </c>
      <c r="E107" s="39">
        <v>1398.87</v>
      </c>
      <c r="F107" s="39">
        <v>1133.53451</v>
      </c>
    </row>
    <row r="108" spans="1:6" x14ac:dyDescent="0.5">
      <c r="A108" s="57" t="s">
        <v>29</v>
      </c>
      <c r="B108" s="58">
        <v>44958</v>
      </c>
      <c r="C108" s="57" t="s">
        <v>14</v>
      </c>
      <c r="D108" s="39">
        <v>902.80650000000003</v>
      </c>
      <c r="E108" s="39">
        <v>1280.635</v>
      </c>
      <c r="F108" s="39">
        <v>999.43516499999998</v>
      </c>
    </row>
    <row r="109" spans="1:6" x14ac:dyDescent="0.5">
      <c r="A109" s="57" t="s">
        <v>29</v>
      </c>
      <c r="B109" s="58">
        <v>44986</v>
      </c>
      <c r="C109" s="57" t="s">
        <v>15</v>
      </c>
      <c r="D109" s="39">
        <v>1317.3938000000001</v>
      </c>
      <c r="E109" s="39">
        <v>1861.992</v>
      </c>
      <c r="F109" s="39">
        <v>1160.6683929999999</v>
      </c>
    </row>
    <row r="110" spans="1:6" x14ac:dyDescent="0.5">
      <c r="A110" s="57" t="s">
        <v>29</v>
      </c>
      <c r="B110" s="58">
        <v>45017</v>
      </c>
      <c r="C110" s="57" t="s">
        <v>16</v>
      </c>
      <c r="D110" s="39">
        <v>1108.4488999999999</v>
      </c>
      <c r="E110" s="39">
        <v>1569.605</v>
      </c>
      <c r="F110" s="39">
        <v>1705.422975</v>
      </c>
    </row>
    <row r="111" spans="1:6" x14ac:dyDescent="0.5">
      <c r="A111" s="57" t="s">
        <v>29</v>
      </c>
      <c r="B111" s="58">
        <v>45047</v>
      </c>
      <c r="C111" s="57" t="s">
        <v>17</v>
      </c>
      <c r="D111" s="39">
        <v>1046.3436999999999</v>
      </c>
      <c r="E111" s="39">
        <v>2651.7429999999999</v>
      </c>
      <c r="F111" s="39">
        <v>2111.759227</v>
      </c>
    </row>
    <row r="112" spans="1:6" x14ac:dyDescent="0.5">
      <c r="A112" s="57" t="s">
        <v>29</v>
      </c>
      <c r="B112" s="58">
        <v>45078</v>
      </c>
      <c r="C112" s="57" t="s">
        <v>18</v>
      </c>
      <c r="D112" s="39">
        <v>1222.3918999999999</v>
      </c>
      <c r="E112" s="39">
        <v>2005.7539999999999</v>
      </c>
      <c r="F112" s="39">
        <v>1660.694197</v>
      </c>
    </row>
    <row r="113" spans="1:6" x14ac:dyDescent="0.5">
      <c r="A113" s="57" t="s">
        <v>29</v>
      </c>
      <c r="B113" s="58">
        <v>45108</v>
      </c>
      <c r="C113" s="57" t="s">
        <v>19</v>
      </c>
      <c r="D113" s="39">
        <v>1044.3718000000001</v>
      </c>
      <c r="E113" s="39">
        <v>2159.34</v>
      </c>
      <c r="F113" s="39">
        <v>1518.6159230000001</v>
      </c>
    </row>
    <row r="114" spans="1:6" x14ac:dyDescent="0.5">
      <c r="A114" s="57" t="s">
        <v>29</v>
      </c>
      <c r="B114" s="58">
        <v>45139</v>
      </c>
      <c r="C114" s="57" t="s">
        <v>20</v>
      </c>
      <c r="D114" s="39">
        <v>1079.9816000000001</v>
      </c>
      <c r="E114" s="39">
        <v>2370.0149999999999</v>
      </c>
      <c r="F114" s="39">
        <v>1482.98405</v>
      </c>
    </row>
    <row r="115" spans="1:6" x14ac:dyDescent="0.5">
      <c r="A115" s="57" t="s">
        <v>29</v>
      </c>
      <c r="B115" s="58">
        <v>45170</v>
      </c>
      <c r="C115" s="57" t="s">
        <v>21</v>
      </c>
      <c r="D115" s="39">
        <v>978.02469999999994</v>
      </c>
      <c r="E115" s="39">
        <v>1627.8979999999999</v>
      </c>
      <c r="F115" s="39">
        <v>1051.576691</v>
      </c>
    </row>
    <row r="116" spans="1:6" x14ac:dyDescent="0.5">
      <c r="A116" s="57" t="s">
        <v>30</v>
      </c>
      <c r="B116" s="58">
        <v>45200</v>
      </c>
      <c r="C116" s="57" t="s">
        <v>10</v>
      </c>
      <c r="D116" s="39">
        <v>1104.0376999999999</v>
      </c>
      <c r="E116" s="39">
        <v>1856.0840000000001</v>
      </c>
      <c r="F116" s="39">
        <v>1121.7079739999999</v>
      </c>
    </row>
    <row r="117" spans="1:6" x14ac:dyDescent="0.5">
      <c r="A117" s="57" t="s">
        <v>30</v>
      </c>
      <c r="B117" s="58">
        <v>45231</v>
      </c>
      <c r="C117" s="57" t="s">
        <v>11</v>
      </c>
      <c r="D117" s="39">
        <v>1356.1396999999999</v>
      </c>
      <c r="E117" s="39">
        <v>1817.7239999999999</v>
      </c>
      <c r="F117" s="39">
        <v>1116.9550369999999</v>
      </c>
    </row>
    <row r="118" spans="1:6" x14ac:dyDescent="0.5">
      <c r="A118" s="57" t="s">
        <v>30</v>
      </c>
      <c r="B118" s="58">
        <v>45261</v>
      </c>
      <c r="C118" s="57" t="s">
        <v>12</v>
      </c>
      <c r="D118" s="39">
        <v>1457.4216999999999</v>
      </c>
      <c r="E118" s="39">
        <v>1873.146</v>
      </c>
      <c r="F118" s="39">
        <v>1206.0832270000001</v>
      </c>
    </row>
    <row r="119" spans="1:6" x14ac:dyDescent="0.5">
      <c r="A119" s="57" t="s">
        <v>30</v>
      </c>
      <c r="B119" s="58">
        <v>45292</v>
      </c>
      <c r="C119" s="57" t="s">
        <v>13</v>
      </c>
      <c r="D119" s="39">
        <v>1310.5822000000001</v>
      </c>
      <c r="E119" s="39">
        <v>1841.704</v>
      </c>
      <c r="F119" s="39">
        <v>1380.19497</v>
      </c>
    </row>
    <row r="120" spans="1:6" x14ac:dyDescent="0.5">
      <c r="A120" s="57" t="s">
        <v>30</v>
      </c>
      <c r="B120" s="58">
        <v>45323</v>
      </c>
      <c r="C120" s="57" t="s">
        <v>14</v>
      </c>
      <c r="D120" s="39">
        <v>1386.3428999999999</v>
      </c>
      <c r="E120" s="39">
        <v>1564.7249999999999</v>
      </c>
      <c r="F120" s="39">
        <v>1523.878475</v>
      </c>
    </row>
    <row r="121" spans="1:6" x14ac:dyDescent="0.5">
      <c r="A121" s="57" t="s">
        <v>30</v>
      </c>
      <c r="B121" s="58">
        <v>45352</v>
      </c>
      <c r="C121" s="57" t="s">
        <v>15</v>
      </c>
      <c r="D121" s="39">
        <v>1451.0436999999999</v>
      </c>
      <c r="E121" s="39">
        <v>1716.662</v>
      </c>
      <c r="F121" s="39">
        <v>2026.92247</v>
      </c>
    </row>
    <row r="122" spans="1:6" x14ac:dyDescent="0.5">
      <c r="A122" s="57" t="s">
        <v>30</v>
      </c>
      <c r="B122" s="58">
        <v>45383</v>
      </c>
      <c r="C122" s="57" t="s">
        <v>16</v>
      </c>
      <c r="D122" s="39">
        <v>1229.5288</v>
      </c>
      <c r="E122" s="39">
        <v>2145.4270000000001</v>
      </c>
      <c r="F122" s="39">
        <v>2345.3621050000002</v>
      </c>
    </row>
    <row r="123" spans="1:6" x14ac:dyDescent="0.5">
      <c r="A123" s="57" t="s">
        <v>30</v>
      </c>
      <c r="B123" s="58">
        <v>45413</v>
      </c>
      <c r="C123" s="57" t="s">
        <v>17</v>
      </c>
      <c r="D123" s="39">
        <v>1013.8299000000001</v>
      </c>
      <c r="E123" s="39">
        <v>2102.0709999999999</v>
      </c>
      <c r="F123" s="39">
        <v>2910.3567029999999</v>
      </c>
    </row>
    <row r="124" spans="1:6" x14ac:dyDescent="0.5">
      <c r="A124" s="57" t="s">
        <v>30</v>
      </c>
      <c r="B124" s="58">
        <v>45444</v>
      </c>
      <c r="C124" s="57" t="s">
        <v>18</v>
      </c>
      <c r="D124" s="39">
        <v>1062.9848999999999</v>
      </c>
      <c r="E124" s="39">
        <v>2022.761</v>
      </c>
      <c r="F124" s="39">
        <v>2647.08268</v>
      </c>
    </row>
    <row r="125" spans="1:6" x14ac:dyDescent="0.5">
      <c r="A125" s="57" t="s">
        <v>30</v>
      </c>
      <c r="B125" s="58">
        <v>45474</v>
      </c>
      <c r="C125" s="57" t="s">
        <v>19</v>
      </c>
      <c r="D125" s="39">
        <v>1001.7097</v>
      </c>
      <c r="E125" s="39">
        <v>1966.289</v>
      </c>
      <c r="F125" s="39">
        <v>2554.5518699999998</v>
      </c>
    </row>
    <row r="126" spans="1:6" x14ac:dyDescent="0.5">
      <c r="A126" s="57" t="s">
        <v>30</v>
      </c>
      <c r="B126" s="58">
        <v>45505</v>
      </c>
      <c r="C126" s="57" t="s">
        <v>20</v>
      </c>
      <c r="D126" s="39">
        <v>904.6563000000001</v>
      </c>
      <c r="E126" s="39">
        <v>2070.846</v>
      </c>
      <c r="F126" s="39">
        <v>2125.6231899999998</v>
      </c>
    </row>
    <row r="127" spans="1:6" x14ac:dyDescent="0.5">
      <c r="A127" s="57" t="s">
        <v>30</v>
      </c>
      <c r="B127" s="58">
        <v>45536</v>
      </c>
      <c r="C127" s="57" t="s">
        <v>21</v>
      </c>
      <c r="D127" s="39">
        <v>1086.5735</v>
      </c>
      <c r="E127" s="39">
        <v>1744.8889999999999</v>
      </c>
      <c r="F127" s="39">
        <v>2416.5531299999998</v>
      </c>
    </row>
    <row r="128" spans="1:6" x14ac:dyDescent="0.5">
      <c r="A128" s="57" t="s">
        <v>31</v>
      </c>
      <c r="B128" s="58">
        <v>45566</v>
      </c>
      <c r="C128" s="57" t="s">
        <v>10</v>
      </c>
      <c r="D128" s="39">
        <v>1302.4014</v>
      </c>
      <c r="E128" s="39">
        <v>2299.5940000000001</v>
      </c>
      <c r="F128" s="39">
        <v>2629.7704250000002</v>
      </c>
    </row>
    <row r="129" spans="1:6" x14ac:dyDescent="0.5">
      <c r="A129" s="57" t="s">
        <v>31</v>
      </c>
      <c r="B129" s="58">
        <v>45597</v>
      </c>
      <c r="C129" s="57" t="s">
        <v>11</v>
      </c>
      <c r="D129" s="39">
        <v>1493.7666000000002</v>
      </c>
      <c r="E129" s="39">
        <v>1679.3340000000001</v>
      </c>
      <c r="F129" s="39">
        <v>2379.6138900000001</v>
      </c>
    </row>
    <row r="130" spans="1:6" x14ac:dyDescent="0.5">
      <c r="A130" s="57" t="s">
        <v>31</v>
      </c>
      <c r="B130" s="58">
        <v>45627</v>
      </c>
      <c r="C130" s="57" t="s">
        <v>12</v>
      </c>
      <c r="D130" s="39">
        <v>1493.5178999999998</v>
      </c>
      <c r="E130" s="39">
        <v>1980.0309999999999</v>
      </c>
      <c r="F130" s="39">
        <v>2301.2521550000001</v>
      </c>
    </row>
    <row r="131" spans="1:6" x14ac:dyDescent="0.5">
      <c r="A131" s="57" t="s">
        <v>31</v>
      </c>
      <c r="B131" s="58">
        <v>45658</v>
      </c>
      <c r="C131" s="57" t="s">
        <v>13</v>
      </c>
      <c r="D131" s="39">
        <v>1408.1514</v>
      </c>
      <c r="E131" s="39">
        <v>1651.0239999999999</v>
      </c>
      <c r="F131" s="39">
        <v>2050.971853</v>
      </c>
    </row>
    <row r="132" spans="1:6" x14ac:dyDescent="0.5">
      <c r="A132" s="57" t="s">
        <v>31</v>
      </c>
      <c r="B132" s="58">
        <v>45689</v>
      </c>
      <c r="C132" s="57" t="s">
        <v>14</v>
      </c>
      <c r="D132" s="39">
        <v>1114.5086000000001</v>
      </c>
      <c r="E132" s="39">
        <v>1655.5930000000001</v>
      </c>
      <c r="F132" s="39">
        <v>1701.1971719999999</v>
      </c>
    </row>
    <row r="133" spans="1:6" x14ac:dyDescent="0.5">
      <c r="A133" s="57" t="s">
        <v>31</v>
      </c>
      <c r="B133" s="58">
        <v>45717</v>
      </c>
      <c r="C133" s="57" t="s">
        <v>15</v>
      </c>
      <c r="D133" s="39">
        <v>1585.6422</v>
      </c>
      <c r="E133" s="39">
        <v>1854.097</v>
      </c>
      <c r="F133" s="39">
        <v>2204.148459</v>
      </c>
    </row>
    <row r="134" spans="1:6" x14ac:dyDescent="0.5">
      <c r="A134" s="57" t="s">
        <v>31</v>
      </c>
      <c r="B134" s="58">
        <v>45748</v>
      </c>
      <c r="C134" s="57" t="s">
        <v>16</v>
      </c>
      <c r="D134" s="39">
        <v>1328.6224</v>
      </c>
      <c r="E134" s="39">
        <v>2124.248</v>
      </c>
      <c r="F134" s="39">
        <v>2191.1564159999998</v>
      </c>
    </row>
    <row r="135" spans="1:6" x14ac:dyDescent="0.5">
      <c r="A135" s="57" t="s">
        <v>31</v>
      </c>
      <c r="B135" s="58">
        <v>45778</v>
      </c>
      <c r="C135" s="57" t="s">
        <v>17</v>
      </c>
      <c r="D135" s="39">
        <v>1338.2492999999999</v>
      </c>
      <c r="E135" s="39">
        <v>2269.9879999999998</v>
      </c>
      <c r="F135" s="39">
        <v>2341.829295</v>
      </c>
    </row>
    <row r="136" spans="1:6" x14ac:dyDescent="0.5">
      <c r="A136" s="57" t="s">
        <v>31</v>
      </c>
      <c r="B136" s="58">
        <v>45809</v>
      </c>
      <c r="C136" s="57" t="s">
        <v>18</v>
      </c>
      <c r="D136" s="39">
        <v>1316.6991</v>
      </c>
      <c r="E136" s="39">
        <v>1840.904</v>
      </c>
      <c r="F136" s="39">
        <v>2452.9301399999999</v>
      </c>
    </row>
    <row r="137" spans="1:6" x14ac:dyDescent="0.5">
      <c r="A137" s="57" t="s">
        <v>31</v>
      </c>
      <c r="B137" s="58">
        <v>45839</v>
      </c>
      <c r="C137" s="57" t="s">
        <v>19</v>
      </c>
      <c r="D137" s="39">
        <v>1366.7956000000001</v>
      </c>
      <c r="E137" s="39">
        <v>2055.0569999999998</v>
      </c>
      <c r="F137" s="39">
        <v>2432.5192740000002</v>
      </c>
    </row>
    <row r="138" spans="1:6" x14ac:dyDescent="0.5">
      <c r="A138" s="57" t="s">
        <v>31</v>
      </c>
      <c r="B138" s="58">
        <v>45870</v>
      </c>
      <c r="C138" s="57" t="s">
        <v>20</v>
      </c>
      <c r="D138" s="39">
        <v>1310.9861000000001</v>
      </c>
      <c r="E138" s="39">
        <v>1904.4259999999999</v>
      </c>
      <c r="F138" s="39">
        <v>2733.5343440000001</v>
      </c>
    </row>
    <row r="139" spans="1:6" x14ac:dyDescent="0.5">
      <c r="A139" s="57" t="s">
        <v>31</v>
      </c>
      <c r="B139" s="58">
        <v>45901</v>
      </c>
      <c r="C139" s="57" t="s">
        <v>21</v>
      </c>
      <c r="D139" s="39">
        <v>1302.7673</v>
      </c>
      <c r="E139" s="39">
        <v>2071.2800000000002</v>
      </c>
      <c r="F139" s="39">
        <v>2672.865076</v>
      </c>
    </row>
    <row r="140" spans="1:6" x14ac:dyDescent="0.5">
      <c r="A140" s="57" t="s">
        <v>32</v>
      </c>
      <c r="B140" s="58">
        <v>45931</v>
      </c>
      <c r="C140" s="57" t="s">
        <v>10</v>
      </c>
      <c r="D140" s="39">
        <v>1368.9902999999999</v>
      </c>
      <c r="E140" s="39">
        <v>2147.3389999999999</v>
      </c>
      <c r="F140" s="39">
        <v>2426.6827950000002</v>
      </c>
    </row>
    <row r="141" spans="1:6" x14ac:dyDescent="0.5">
      <c r="A141" s="57" t="s">
        <v>32</v>
      </c>
      <c r="B141" s="58">
        <v>45962</v>
      </c>
      <c r="C141" s="57" t="s">
        <v>11</v>
      </c>
      <c r="D141" s="39">
        <v>1327.0363</v>
      </c>
      <c r="E141" s="39">
        <v>1704.778</v>
      </c>
      <c r="F141" s="39">
        <v>2715.8576210000001</v>
      </c>
    </row>
    <row r="142" spans="1:6" x14ac:dyDescent="0.5">
      <c r="A142" s="57" t="s">
        <v>32</v>
      </c>
      <c r="B142" s="58">
        <v>45992</v>
      </c>
      <c r="C142" s="57" t="s">
        <v>12</v>
      </c>
      <c r="D142" s="39">
        <v>1660.1368</v>
      </c>
      <c r="E142" s="39">
        <v>1990.3150000000001</v>
      </c>
      <c r="F142" s="39">
        <v>1890.3920900000001</v>
      </c>
    </row>
    <row r="143" spans="1:6" x14ac:dyDescent="0.5">
      <c r="A143" s="57" t="s">
        <v>32</v>
      </c>
      <c r="B143" s="58">
        <v>46023</v>
      </c>
      <c r="C143" s="57" t="s">
        <v>13</v>
      </c>
      <c r="D143" s="39">
        <v>1646.8235</v>
      </c>
      <c r="E143" s="39">
        <v>1797.577</v>
      </c>
      <c r="F143" s="39">
        <v>1899.909633</v>
      </c>
    </row>
    <row r="144" spans="1:6" x14ac:dyDescent="0.5">
      <c r="A144" s="57" t="s">
        <v>32</v>
      </c>
      <c r="B144" s="58">
        <v>46054</v>
      </c>
      <c r="C144" s="57" t="s">
        <v>14</v>
      </c>
      <c r="D144" s="39">
        <v>1349.2271000000001</v>
      </c>
      <c r="E144" s="39">
        <v>1702.402</v>
      </c>
      <c r="F144" s="39">
        <v>1232.4749489999999</v>
      </c>
    </row>
    <row r="145" spans="1:6" x14ac:dyDescent="0.5">
      <c r="A145" s="57" t="s">
        <v>32</v>
      </c>
      <c r="B145" s="58">
        <v>46082</v>
      </c>
      <c r="C145" s="57" t="s">
        <v>15</v>
      </c>
      <c r="D145" s="39"/>
      <c r="E145" s="39">
        <v>1926.239</v>
      </c>
      <c r="F145" s="3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0DB7D-3E83-4853-94B6-B5FC2DECFACD}">
  <dimension ref="A1:X277"/>
  <sheetViews>
    <sheetView tabSelected="1" workbookViewId="0">
      <selection activeCell="F273" sqref="F273"/>
    </sheetView>
  </sheetViews>
  <sheetFormatPr defaultRowHeight="14.25" x14ac:dyDescent="0.45"/>
  <cols>
    <col min="3" max="12" width="12.53125" bestFit="1" customWidth="1"/>
  </cols>
  <sheetData>
    <row r="1" spans="1:24" x14ac:dyDescent="0.45">
      <c r="A1" s="29" t="s">
        <v>61</v>
      </c>
      <c r="B1" s="29" t="s">
        <v>1</v>
      </c>
      <c r="C1" s="29" t="s">
        <v>2</v>
      </c>
      <c r="D1" s="29" t="s">
        <v>3</v>
      </c>
      <c r="E1" s="29" t="s">
        <v>60</v>
      </c>
      <c r="F1" s="29" t="s">
        <v>5</v>
      </c>
      <c r="G1" s="29" t="s">
        <v>6</v>
      </c>
      <c r="H1" s="29" t="s">
        <v>59</v>
      </c>
      <c r="I1" s="29" t="s">
        <v>58</v>
      </c>
      <c r="J1" s="29" t="s">
        <v>57</v>
      </c>
    </row>
    <row r="2" spans="1:24" x14ac:dyDescent="0.45">
      <c r="A2" s="29" t="s">
        <v>56</v>
      </c>
      <c r="B2" s="60">
        <v>37987</v>
      </c>
      <c r="C2" s="29" t="s">
        <v>38</v>
      </c>
      <c r="D2" s="9">
        <v>2945718</v>
      </c>
      <c r="E2" s="9">
        <v>1445.3420000000001</v>
      </c>
      <c r="F2" s="9"/>
      <c r="G2" s="9">
        <v>1029.8583209999999</v>
      </c>
      <c r="H2" s="9">
        <v>240.45099999999999</v>
      </c>
      <c r="I2" s="61">
        <v>1131.806</v>
      </c>
      <c r="J2" s="29"/>
    </row>
    <row r="3" spans="1:24" x14ac:dyDescent="0.45">
      <c r="A3" s="29" t="s">
        <v>56</v>
      </c>
      <c r="B3" s="60">
        <v>38018</v>
      </c>
      <c r="C3" s="29" t="s">
        <v>37</v>
      </c>
      <c r="D3" s="9">
        <v>2525719</v>
      </c>
      <c r="E3" s="9">
        <v>1815.847</v>
      </c>
      <c r="F3" s="9"/>
      <c r="G3" s="9">
        <v>606.37652600000001</v>
      </c>
      <c r="H3" s="9">
        <v>460.113</v>
      </c>
      <c r="I3" s="61">
        <v>863.44100000000003</v>
      </c>
      <c r="J3" s="29"/>
    </row>
    <row r="4" spans="1:24" x14ac:dyDescent="0.45">
      <c r="A4" s="29" t="s">
        <v>56</v>
      </c>
      <c r="B4" s="60">
        <v>38047</v>
      </c>
      <c r="C4" s="29" t="s">
        <v>36</v>
      </c>
      <c r="D4" s="9">
        <v>2615966</v>
      </c>
      <c r="E4" s="9">
        <v>1455.241</v>
      </c>
      <c r="F4" s="9"/>
      <c r="G4" s="9">
        <v>818.07181300000002</v>
      </c>
      <c r="H4" s="9">
        <v>416.15899999999999</v>
      </c>
      <c r="I4" s="61">
        <v>1051.6079999999999</v>
      </c>
      <c r="J4" s="29"/>
      <c r="X4" s="18"/>
    </row>
    <row r="5" spans="1:24" x14ac:dyDescent="0.45">
      <c r="A5" s="29" t="s">
        <v>56</v>
      </c>
      <c r="B5" s="60">
        <v>38078</v>
      </c>
      <c r="C5" s="29" t="s">
        <v>46</v>
      </c>
      <c r="D5" s="9">
        <v>2790946</v>
      </c>
      <c r="E5" s="9">
        <v>1836.7829999999999</v>
      </c>
      <c r="F5" s="9">
        <v>0.02</v>
      </c>
      <c r="G5" s="9">
        <v>490.60721000000001</v>
      </c>
      <c r="H5" s="9">
        <v>512.64</v>
      </c>
      <c r="I5" s="61">
        <v>1121.43</v>
      </c>
      <c r="J5" s="29"/>
      <c r="X5" s="18"/>
    </row>
    <row r="6" spans="1:24" x14ac:dyDescent="0.45">
      <c r="A6" s="29" t="s">
        <v>56</v>
      </c>
      <c r="B6" s="60">
        <v>38108</v>
      </c>
      <c r="C6" s="29" t="s">
        <v>17</v>
      </c>
      <c r="D6" s="9">
        <v>2504569</v>
      </c>
      <c r="E6" s="9">
        <v>1640.13</v>
      </c>
      <c r="F6" s="9">
        <v>9.9760000000000009</v>
      </c>
      <c r="G6" s="9">
        <v>703.22652000000005</v>
      </c>
      <c r="H6" s="9">
        <v>605.89800000000002</v>
      </c>
      <c r="I6" s="61">
        <v>1638.0940000000001</v>
      </c>
      <c r="J6" s="29"/>
      <c r="X6" s="18"/>
    </row>
    <row r="7" spans="1:24" x14ac:dyDescent="0.45">
      <c r="A7" s="29" t="s">
        <v>56</v>
      </c>
      <c r="B7" s="60">
        <v>38139</v>
      </c>
      <c r="C7" s="29" t="s">
        <v>45</v>
      </c>
      <c r="D7" s="9">
        <v>2218830</v>
      </c>
      <c r="E7" s="9">
        <v>1653.4659999999999</v>
      </c>
      <c r="F7" s="9">
        <v>36.379192000000003</v>
      </c>
      <c r="G7" s="9">
        <v>706.42052999999999</v>
      </c>
      <c r="H7" s="9">
        <v>597.92399999999998</v>
      </c>
      <c r="I7" s="61">
        <v>1600.3150000000001</v>
      </c>
      <c r="J7" s="29"/>
      <c r="X7" s="18"/>
    </row>
    <row r="8" spans="1:24" x14ac:dyDescent="0.45">
      <c r="A8" s="29" t="s">
        <v>55</v>
      </c>
      <c r="B8" s="60">
        <v>38169</v>
      </c>
      <c r="C8" s="29" t="s">
        <v>44</v>
      </c>
      <c r="D8" s="9">
        <v>2554102</v>
      </c>
      <c r="E8" s="9">
        <v>1784.7280000000001</v>
      </c>
      <c r="F8" s="9">
        <v>12.28739</v>
      </c>
      <c r="G8" s="9">
        <v>580.05633</v>
      </c>
      <c r="H8" s="9">
        <v>541.51099999999997</v>
      </c>
      <c r="I8" s="61">
        <v>1353.9639999999999</v>
      </c>
      <c r="J8" s="29"/>
      <c r="X8" s="18"/>
    </row>
    <row r="9" spans="1:24" x14ac:dyDescent="0.45">
      <c r="A9" s="29" t="s">
        <v>55</v>
      </c>
      <c r="B9" s="60">
        <v>38200</v>
      </c>
      <c r="C9" s="29" t="s">
        <v>43</v>
      </c>
      <c r="D9" s="9">
        <v>2832012</v>
      </c>
      <c r="E9" s="9">
        <v>1415.338</v>
      </c>
      <c r="F9" s="9">
        <v>227.09886299999999</v>
      </c>
      <c r="G9" s="9">
        <v>723.75759000000005</v>
      </c>
      <c r="H9" s="9">
        <v>1141.126</v>
      </c>
      <c r="I9" s="61">
        <v>1736.2660000000001</v>
      </c>
      <c r="J9" s="29"/>
      <c r="X9" s="18"/>
    </row>
    <row r="10" spans="1:24" x14ac:dyDescent="0.45">
      <c r="A10" s="29" t="s">
        <v>55</v>
      </c>
      <c r="B10" s="60">
        <v>38231</v>
      </c>
      <c r="C10" s="29" t="s">
        <v>42</v>
      </c>
      <c r="D10" s="9">
        <v>3251155</v>
      </c>
      <c r="E10" s="9">
        <v>1501.789</v>
      </c>
      <c r="F10" s="9">
        <v>505.42422599999998</v>
      </c>
      <c r="G10" s="9">
        <v>678.61572899999999</v>
      </c>
      <c r="H10" s="9">
        <v>1335.028</v>
      </c>
      <c r="I10" s="61">
        <v>1138.152</v>
      </c>
      <c r="J10" s="29"/>
      <c r="X10" s="18"/>
    </row>
    <row r="11" spans="1:24" x14ac:dyDescent="0.45">
      <c r="A11" s="29" t="s">
        <v>55</v>
      </c>
      <c r="B11" s="60">
        <v>38261</v>
      </c>
      <c r="C11" s="29" t="s">
        <v>41</v>
      </c>
      <c r="D11" s="9">
        <v>2401304</v>
      </c>
      <c r="E11" s="9">
        <v>1368.9</v>
      </c>
      <c r="F11" s="9">
        <v>613.68387099999995</v>
      </c>
      <c r="G11" s="9">
        <v>862.39121999999998</v>
      </c>
      <c r="H11" s="9">
        <v>1359.4939999999999</v>
      </c>
      <c r="I11" s="61">
        <v>915.16</v>
      </c>
      <c r="J11" s="29"/>
      <c r="X11" s="18"/>
    </row>
    <row r="12" spans="1:24" x14ac:dyDescent="0.45">
      <c r="A12" s="29" t="s">
        <v>55</v>
      </c>
      <c r="B12" s="60">
        <v>38292</v>
      </c>
      <c r="C12" s="29" t="s">
        <v>40</v>
      </c>
      <c r="D12" s="9">
        <v>2189830</v>
      </c>
      <c r="E12" s="9">
        <v>1419.1189999999999</v>
      </c>
      <c r="F12" s="9">
        <v>592.71981200000005</v>
      </c>
      <c r="G12" s="9">
        <v>1111.9598410000001</v>
      </c>
      <c r="H12" s="9">
        <v>1130.8009999999999</v>
      </c>
      <c r="I12" s="61">
        <v>1293.136</v>
      </c>
      <c r="J12" s="29"/>
      <c r="X12" s="18"/>
    </row>
    <row r="13" spans="1:24" x14ac:dyDescent="0.45">
      <c r="A13" s="29" t="s">
        <v>55</v>
      </c>
      <c r="B13" s="60">
        <v>38322</v>
      </c>
      <c r="C13" s="29" t="s">
        <v>39</v>
      </c>
      <c r="D13" s="9">
        <v>2213374</v>
      </c>
      <c r="E13" s="9">
        <v>1116.828</v>
      </c>
      <c r="F13" s="9">
        <v>556.09164699999997</v>
      </c>
      <c r="G13" s="9">
        <v>1672.6240170000001</v>
      </c>
      <c r="H13" s="9">
        <v>887.27800000000002</v>
      </c>
      <c r="I13" s="61">
        <v>1278.4179999999999</v>
      </c>
      <c r="J13" s="29"/>
      <c r="X13" s="18"/>
    </row>
    <row r="14" spans="1:24" x14ac:dyDescent="0.45">
      <c r="A14" s="29" t="s">
        <v>55</v>
      </c>
      <c r="B14" s="60">
        <v>38353</v>
      </c>
      <c r="C14" s="29" t="s">
        <v>38</v>
      </c>
      <c r="D14" s="9">
        <v>2115351</v>
      </c>
      <c r="E14" s="9">
        <v>1516.817</v>
      </c>
      <c r="F14" s="9">
        <v>333.91664200000002</v>
      </c>
      <c r="G14" s="9">
        <v>2334.0324000000001</v>
      </c>
      <c r="H14" s="9">
        <v>785.50099999999998</v>
      </c>
      <c r="I14" s="61">
        <v>1101.92</v>
      </c>
      <c r="J14" s="29"/>
    </row>
    <row r="15" spans="1:24" x14ac:dyDescent="0.45">
      <c r="A15" s="29" t="s">
        <v>55</v>
      </c>
      <c r="B15" s="60">
        <v>38384</v>
      </c>
      <c r="C15" s="29" t="s">
        <v>37</v>
      </c>
      <c r="D15" s="9">
        <v>2042771</v>
      </c>
      <c r="E15" s="9">
        <v>1414.921</v>
      </c>
      <c r="F15" s="9">
        <v>243.95169200000001</v>
      </c>
      <c r="G15" s="9">
        <v>1762.7716379999999</v>
      </c>
      <c r="H15" s="9">
        <v>696.17100000000005</v>
      </c>
      <c r="I15" s="61">
        <v>1244.471</v>
      </c>
      <c r="J15" s="29"/>
    </row>
    <row r="16" spans="1:24" x14ac:dyDescent="0.45">
      <c r="A16" s="29" t="s">
        <v>55</v>
      </c>
      <c r="B16" s="60">
        <v>38412</v>
      </c>
      <c r="C16" s="29" t="s">
        <v>36</v>
      </c>
      <c r="D16" s="9">
        <v>2084481</v>
      </c>
      <c r="E16" s="9">
        <v>1103.2380000000001</v>
      </c>
      <c r="F16" s="9">
        <v>296.18801000000002</v>
      </c>
      <c r="G16" s="9">
        <v>1194.095333</v>
      </c>
      <c r="H16" s="9">
        <v>1057.8209999999999</v>
      </c>
      <c r="I16" s="61">
        <v>1106.296</v>
      </c>
      <c r="J16" s="29"/>
    </row>
    <row r="17" spans="1:10" x14ac:dyDescent="0.45">
      <c r="A17" s="29" t="s">
        <v>55</v>
      </c>
      <c r="B17" s="60">
        <v>38443</v>
      </c>
      <c r="C17" s="29" t="s">
        <v>46</v>
      </c>
      <c r="D17" s="9">
        <v>2195309</v>
      </c>
      <c r="E17" s="9">
        <v>891.59799999999996</v>
      </c>
      <c r="F17" s="9">
        <v>353.54237799999999</v>
      </c>
      <c r="G17" s="9">
        <v>870.26947800000005</v>
      </c>
      <c r="H17" s="9">
        <v>1046.165</v>
      </c>
      <c r="I17" s="61">
        <v>999.58399999999995</v>
      </c>
      <c r="J17" s="29"/>
    </row>
    <row r="18" spans="1:10" x14ac:dyDescent="0.45">
      <c r="A18" s="29" t="s">
        <v>55</v>
      </c>
      <c r="B18" s="60">
        <v>38473</v>
      </c>
      <c r="C18" s="29" t="s">
        <v>17</v>
      </c>
      <c r="D18" s="9">
        <v>2029152</v>
      </c>
      <c r="E18" s="9">
        <v>962.23299999999995</v>
      </c>
      <c r="F18" s="9">
        <v>321.53595899999999</v>
      </c>
      <c r="G18" s="9">
        <v>742.55642399999999</v>
      </c>
      <c r="H18" s="9">
        <v>1123.606</v>
      </c>
      <c r="I18" s="61">
        <v>1473.173</v>
      </c>
      <c r="J18" s="29"/>
    </row>
    <row r="19" spans="1:10" x14ac:dyDescent="0.45">
      <c r="A19" s="29" t="s">
        <v>55</v>
      </c>
      <c r="B19" s="60">
        <v>38504</v>
      </c>
      <c r="C19" s="29" t="s">
        <v>45</v>
      </c>
      <c r="D19" s="9">
        <v>1751462</v>
      </c>
      <c r="E19" s="9">
        <v>945.63599999999997</v>
      </c>
      <c r="F19" s="9">
        <v>319.63077500000003</v>
      </c>
      <c r="G19" s="9">
        <v>434.69002</v>
      </c>
      <c r="H19" s="9">
        <v>1095.8579999999999</v>
      </c>
      <c r="I19" s="61">
        <v>1111.3869999999999</v>
      </c>
      <c r="J19" s="29"/>
    </row>
    <row r="20" spans="1:10" x14ac:dyDescent="0.45">
      <c r="A20" s="29" t="s">
        <v>54</v>
      </c>
      <c r="B20" s="60">
        <v>38534</v>
      </c>
      <c r="C20" s="29" t="s">
        <v>44</v>
      </c>
      <c r="D20" s="9">
        <v>2450302</v>
      </c>
      <c r="E20" s="9">
        <v>1210.345</v>
      </c>
      <c r="F20" s="9">
        <v>233.23755499999999</v>
      </c>
      <c r="G20" s="9">
        <v>510.77873</v>
      </c>
      <c r="H20" s="9">
        <v>675.45100000000002</v>
      </c>
      <c r="I20" s="61">
        <v>1119.8219999999999</v>
      </c>
      <c r="J20" s="29"/>
    </row>
    <row r="21" spans="1:10" x14ac:dyDescent="0.45">
      <c r="A21" s="29" t="s">
        <v>54</v>
      </c>
      <c r="B21" s="60">
        <v>38565</v>
      </c>
      <c r="C21" s="29" t="s">
        <v>43</v>
      </c>
      <c r="D21" s="9">
        <v>2269990</v>
      </c>
      <c r="E21" s="9">
        <v>1220.4680000000001</v>
      </c>
      <c r="F21" s="9">
        <v>582.77645900000005</v>
      </c>
      <c r="G21" s="9">
        <v>489.13188500000001</v>
      </c>
      <c r="H21" s="9">
        <v>737.99400000000003</v>
      </c>
      <c r="I21" s="61">
        <v>1164.3040000000001</v>
      </c>
      <c r="J21" s="29"/>
    </row>
    <row r="22" spans="1:10" x14ac:dyDescent="0.45">
      <c r="A22" s="29" t="s">
        <v>54</v>
      </c>
      <c r="B22" s="60">
        <v>38596</v>
      </c>
      <c r="C22" s="29" t="s">
        <v>42</v>
      </c>
      <c r="D22" s="9">
        <v>2761515</v>
      </c>
      <c r="E22" s="9">
        <v>1179.3209999999999</v>
      </c>
      <c r="F22" s="9">
        <v>815.80679199999997</v>
      </c>
      <c r="G22" s="9">
        <v>370.04809</v>
      </c>
      <c r="H22" s="9">
        <v>890.78</v>
      </c>
      <c r="I22" s="61">
        <v>1133.606</v>
      </c>
      <c r="J22" s="29"/>
    </row>
    <row r="23" spans="1:10" x14ac:dyDescent="0.45">
      <c r="A23" s="29" t="s">
        <v>54</v>
      </c>
      <c r="B23" s="60">
        <v>38626</v>
      </c>
      <c r="C23" s="29" t="s">
        <v>41</v>
      </c>
      <c r="D23" s="9">
        <v>2645562</v>
      </c>
      <c r="E23" s="9">
        <v>1324.895</v>
      </c>
      <c r="F23" s="9">
        <v>931.19248300000004</v>
      </c>
      <c r="G23" s="9">
        <v>393.488</v>
      </c>
      <c r="H23" s="9">
        <v>1051.204</v>
      </c>
      <c r="I23" s="61">
        <v>1273.9059999999999</v>
      </c>
      <c r="J23" s="29"/>
    </row>
    <row r="24" spans="1:10" x14ac:dyDescent="0.45">
      <c r="A24" s="29" t="s">
        <v>54</v>
      </c>
      <c r="B24" s="60">
        <v>38657</v>
      </c>
      <c r="C24" s="29" t="s">
        <v>40</v>
      </c>
      <c r="D24" s="9">
        <v>2116893</v>
      </c>
      <c r="E24" s="9">
        <v>915.15200000000004</v>
      </c>
      <c r="F24" s="9">
        <v>859.97891000000004</v>
      </c>
      <c r="G24" s="9">
        <v>515.18483000000003</v>
      </c>
      <c r="H24" s="9">
        <v>996.89499999999998</v>
      </c>
      <c r="I24" s="61">
        <v>1238.866</v>
      </c>
      <c r="J24" s="29"/>
    </row>
    <row r="25" spans="1:10" x14ac:dyDescent="0.45">
      <c r="A25" s="29" t="s">
        <v>54</v>
      </c>
      <c r="B25" s="60">
        <v>38687</v>
      </c>
      <c r="C25" s="29" t="s">
        <v>39</v>
      </c>
      <c r="D25" s="9">
        <v>2577669</v>
      </c>
      <c r="E25" s="9">
        <v>1229.8789999999999</v>
      </c>
      <c r="F25" s="9">
        <v>717.722579</v>
      </c>
      <c r="G25" s="9">
        <v>814.09865500000001</v>
      </c>
      <c r="H25" s="9">
        <v>1170.4659999999999</v>
      </c>
      <c r="I25" s="61">
        <v>951.62</v>
      </c>
      <c r="J25" s="29"/>
    </row>
    <row r="26" spans="1:10" x14ac:dyDescent="0.45">
      <c r="A26" s="29" t="s">
        <v>54</v>
      </c>
      <c r="B26" s="60">
        <v>38718</v>
      </c>
      <c r="C26" s="29" t="s">
        <v>38</v>
      </c>
      <c r="D26" s="9">
        <v>2229018</v>
      </c>
      <c r="E26" s="9">
        <v>1292.317</v>
      </c>
      <c r="F26" s="9">
        <v>167.836907</v>
      </c>
      <c r="G26" s="9">
        <v>971.73294199999998</v>
      </c>
      <c r="H26" s="9">
        <v>1414.9690000000001</v>
      </c>
      <c r="I26" s="61">
        <v>1152.691</v>
      </c>
      <c r="J26" s="29"/>
    </row>
    <row r="27" spans="1:10" x14ac:dyDescent="0.45">
      <c r="A27" s="29" t="s">
        <v>54</v>
      </c>
      <c r="B27" s="60">
        <v>38749</v>
      </c>
      <c r="C27" s="29" t="s">
        <v>37</v>
      </c>
      <c r="D27" s="9">
        <v>1850223</v>
      </c>
      <c r="E27" s="9">
        <v>1403.683</v>
      </c>
      <c r="F27" s="9">
        <v>325.37993999999998</v>
      </c>
      <c r="G27" s="9">
        <v>647.13853099999994</v>
      </c>
      <c r="H27" s="9">
        <v>940.28099999999995</v>
      </c>
      <c r="I27" s="61">
        <v>1065.145</v>
      </c>
      <c r="J27" s="29"/>
    </row>
    <row r="28" spans="1:10" x14ac:dyDescent="0.45">
      <c r="A28" s="29" t="s">
        <v>54</v>
      </c>
      <c r="B28" s="60">
        <v>38777</v>
      </c>
      <c r="C28" s="29" t="s">
        <v>36</v>
      </c>
      <c r="D28" s="9">
        <v>1991244</v>
      </c>
      <c r="E28" s="9">
        <v>1409.942</v>
      </c>
      <c r="F28" s="9">
        <v>368.34657499999997</v>
      </c>
      <c r="G28" s="9">
        <v>842.56144099999995</v>
      </c>
      <c r="H28" s="9">
        <v>1351.848</v>
      </c>
      <c r="I28" s="61">
        <v>1239.9590000000001</v>
      </c>
      <c r="J28" s="29"/>
    </row>
    <row r="29" spans="1:10" x14ac:dyDescent="0.45">
      <c r="A29" s="29" t="s">
        <v>54</v>
      </c>
      <c r="B29" s="60">
        <v>38808</v>
      </c>
      <c r="C29" s="29" t="s">
        <v>46</v>
      </c>
      <c r="D29" s="9">
        <v>1852311</v>
      </c>
      <c r="E29" s="9">
        <v>1414.9290000000001</v>
      </c>
      <c r="F29" s="9">
        <v>477.154944</v>
      </c>
      <c r="G29" s="9">
        <v>499.146816</v>
      </c>
      <c r="H29" s="9">
        <v>1169.1969999999999</v>
      </c>
      <c r="I29" s="61">
        <v>1868.0409999999999</v>
      </c>
      <c r="J29" s="29"/>
    </row>
    <row r="30" spans="1:10" x14ac:dyDescent="0.45">
      <c r="A30" s="29" t="s">
        <v>54</v>
      </c>
      <c r="B30" s="60">
        <v>38838</v>
      </c>
      <c r="C30" s="29" t="s">
        <v>17</v>
      </c>
      <c r="D30" s="9">
        <v>1963273</v>
      </c>
      <c r="E30" s="9">
        <v>1392.6469999999999</v>
      </c>
      <c r="F30" s="9">
        <v>438.79064699999998</v>
      </c>
      <c r="G30" s="9">
        <v>803.57628699999998</v>
      </c>
      <c r="H30" s="9">
        <v>1598.0650000000001</v>
      </c>
      <c r="I30" s="61">
        <v>1790.758</v>
      </c>
      <c r="J30" s="29"/>
    </row>
    <row r="31" spans="1:10" x14ac:dyDescent="0.45">
      <c r="A31" s="29" t="s">
        <v>54</v>
      </c>
      <c r="B31" s="60">
        <v>38869</v>
      </c>
      <c r="C31" s="29" t="s">
        <v>45</v>
      </c>
      <c r="D31" s="9">
        <v>1721324</v>
      </c>
      <c r="E31" s="9">
        <v>877.49699999999996</v>
      </c>
      <c r="F31" s="9">
        <v>509.14195699999999</v>
      </c>
      <c r="G31" s="9">
        <v>845.54270299999996</v>
      </c>
      <c r="H31" s="9">
        <v>1171.5160000000001</v>
      </c>
      <c r="I31" s="61">
        <v>1264.873</v>
      </c>
      <c r="J31" s="29"/>
    </row>
    <row r="32" spans="1:10" x14ac:dyDescent="0.45">
      <c r="A32" s="29" t="s">
        <v>53</v>
      </c>
      <c r="B32" s="60">
        <v>38899</v>
      </c>
      <c r="C32" s="29" t="s">
        <v>44</v>
      </c>
      <c r="D32" s="9">
        <v>1845629</v>
      </c>
      <c r="E32" s="9">
        <v>1268.0830000000001</v>
      </c>
      <c r="F32" s="9">
        <v>324.13772799999998</v>
      </c>
      <c r="G32" s="9">
        <v>728.35008300000004</v>
      </c>
      <c r="H32" s="9">
        <v>803.81399999999996</v>
      </c>
      <c r="I32" s="61">
        <v>1501.8969999999999</v>
      </c>
      <c r="J32" s="29"/>
    </row>
    <row r="33" spans="1:10" x14ac:dyDescent="0.45">
      <c r="A33" s="29" t="s">
        <v>53</v>
      </c>
      <c r="B33" s="60">
        <v>38930</v>
      </c>
      <c r="C33" s="29" t="s">
        <v>43</v>
      </c>
      <c r="D33" s="9">
        <v>2128501</v>
      </c>
      <c r="E33" s="9">
        <v>1642.3989999999999</v>
      </c>
      <c r="F33" s="9">
        <v>459.53978799999999</v>
      </c>
      <c r="G33" s="9">
        <v>801.16757900000005</v>
      </c>
      <c r="H33" s="9">
        <v>1289.1969999999999</v>
      </c>
      <c r="I33" s="61">
        <v>1548.7190000000001</v>
      </c>
      <c r="J33" s="29"/>
    </row>
    <row r="34" spans="1:10" x14ac:dyDescent="0.45">
      <c r="A34" s="29" t="s">
        <v>53</v>
      </c>
      <c r="B34" s="60">
        <v>38961</v>
      </c>
      <c r="C34" s="29" t="s">
        <v>42</v>
      </c>
      <c r="D34" s="9">
        <v>2083360</v>
      </c>
      <c r="E34" s="9">
        <v>1498.825</v>
      </c>
      <c r="F34" s="9">
        <v>850.87273100000004</v>
      </c>
      <c r="G34" s="9">
        <v>508.77193999999997</v>
      </c>
      <c r="H34" s="9">
        <v>1320.4949999999999</v>
      </c>
      <c r="I34" s="61">
        <v>1699.7380000000001</v>
      </c>
      <c r="J34" s="29"/>
    </row>
    <row r="35" spans="1:10" x14ac:dyDescent="0.45">
      <c r="A35" s="29" t="s">
        <v>53</v>
      </c>
      <c r="B35" s="60">
        <v>38991</v>
      </c>
      <c r="C35" s="29" t="s">
        <v>41</v>
      </c>
      <c r="D35" s="9">
        <v>1921197</v>
      </c>
      <c r="E35" s="9">
        <v>1057.0930000000001</v>
      </c>
      <c r="F35" s="9">
        <v>389.07376299999999</v>
      </c>
      <c r="G35" s="9">
        <v>704.17954399999996</v>
      </c>
      <c r="H35" s="9">
        <v>1243.454</v>
      </c>
      <c r="I35" s="61">
        <v>1984.2739999999999</v>
      </c>
      <c r="J35" s="29"/>
    </row>
    <row r="36" spans="1:10" x14ac:dyDescent="0.45">
      <c r="A36" s="29" t="s">
        <v>53</v>
      </c>
      <c r="B36" s="60">
        <v>39022</v>
      </c>
      <c r="C36" s="29" t="s">
        <v>40</v>
      </c>
      <c r="D36" s="9">
        <v>1656165</v>
      </c>
      <c r="E36" s="9">
        <v>895.56100000000004</v>
      </c>
      <c r="F36" s="9">
        <v>168.95578800000001</v>
      </c>
      <c r="G36" s="9">
        <v>698.58403499999997</v>
      </c>
      <c r="H36" s="9">
        <v>1183.4159999999999</v>
      </c>
      <c r="I36" s="61">
        <v>1701.354</v>
      </c>
      <c r="J36" s="29"/>
    </row>
    <row r="37" spans="1:10" x14ac:dyDescent="0.45">
      <c r="A37" s="29" t="s">
        <v>53</v>
      </c>
      <c r="B37" s="60">
        <v>39052</v>
      </c>
      <c r="C37" s="29" t="s">
        <v>39</v>
      </c>
      <c r="D37" s="9">
        <v>1965669</v>
      </c>
      <c r="E37" s="9">
        <v>791.56100000000004</v>
      </c>
      <c r="F37" s="9">
        <v>188.69044099999999</v>
      </c>
      <c r="G37" s="9">
        <v>1647.0160550000001</v>
      </c>
      <c r="H37" s="9">
        <v>1043.7049999999999</v>
      </c>
      <c r="I37" s="61">
        <v>1682.204</v>
      </c>
      <c r="J37" s="29"/>
    </row>
    <row r="38" spans="1:10" x14ac:dyDescent="0.45">
      <c r="A38" s="29" t="s">
        <v>53</v>
      </c>
      <c r="B38" s="60">
        <v>39083</v>
      </c>
      <c r="C38" s="29" t="s">
        <v>38</v>
      </c>
      <c r="D38" s="9">
        <v>2279736</v>
      </c>
      <c r="E38" s="9">
        <v>709.34100000000001</v>
      </c>
      <c r="F38" s="9">
        <v>0</v>
      </c>
      <c r="G38" s="9">
        <v>1441.474068</v>
      </c>
      <c r="H38" s="9">
        <v>1239.579</v>
      </c>
      <c r="I38" s="61">
        <v>1189.8230000000001</v>
      </c>
      <c r="J38" s="29"/>
    </row>
    <row r="39" spans="1:10" x14ac:dyDescent="0.45">
      <c r="A39" s="29" t="s">
        <v>53</v>
      </c>
      <c r="B39" s="60">
        <v>39114</v>
      </c>
      <c r="C39" s="29" t="s">
        <v>37</v>
      </c>
      <c r="D39" s="9">
        <v>2076629</v>
      </c>
      <c r="E39" s="9">
        <v>867.15899999999999</v>
      </c>
      <c r="F39" s="9">
        <v>19.152239999999999</v>
      </c>
      <c r="G39" s="9">
        <v>1225.667631</v>
      </c>
      <c r="H39" s="9">
        <v>981.85400000000004</v>
      </c>
      <c r="I39" s="61">
        <v>1240.23</v>
      </c>
      <c r="J39" s="29"/>
    </row>
    <row r="40" spans="1:10" x14ac:dyDescent="0.45">
      <c r="A40" s="29" t="s">
        <v>53</v>
      </c>
      <c r="B40" s="60">
        <v>39142</v>
      </c>
      <c r="C40" s="29" t="s">
        <v>36</v>
      </c>
      <c r="D40" s="9">
        <v>2124370</v>
      </c>
      <c r="E40" s="9">
        <v>572.29100000000005</v>
      </c>
      <c r="F40" s="9">
        <v>52.644621000000001</v>
      </c>
      <c r="G40" s="9">
        <v>1070.80637</v>
      </c>
      <c r="H40" s="9">
        <v>853.74199999999996</v>
      </c>
      <c r="I40" s="61">
        <v>1225.4290000000001</v>
      </c>
      <c r="J40" s="29"/>
    </row>
    <row r="41" spans="1:10" x14ac:dyDescent="0.45">
      <c r="A41" s="29" t="s">
        <v>53</v>
      </c>
      <c r="B41" s="60">
        <v>39173</v>
      </c>
      <c r="C41" s="29" t="s">
        <v>46</v>
      </c>
      <c r="D41" s="9">
        <v>2088981</v>
      </c>
      <c r="E41" s="9">
        <v>607.52800000000002</v>
      </c>
      <c r="F41" s="9">
        <v>100.565206</v>
      </c>
      <c r="G41" s="9">
        <v>1020.003992</v>
      </c>
      <c r="H41" s="9">
        <v>759.48699999999997</v>
      </c>
      <c r="I41" s="61">
        <v>1597.7840000000001</v>
      </c>
      <c r="J41" s="29"/>
    </row>
    <row r="42" spans="1:10" x14ac:dyDescent="0.45">
      <c r="A42" s="29" t="s">
        <v>53</v>
      </c>
      <c r="B42" s="60">
        <v>39203</v>
      </c>
      <c r="C42" s="29" t="s">
        <v>17</v>
      </c>
      <c r="D42" s="9">
        <v>2398719</v>
      </c>
      <c r="E42" s="9">
        <v>555.20100000000002</v>
      </c>
      <c r="F42" s="9">
        <v>40.361372000000003</v>
      </c>
      <c r="G42" s="9">
        <v>688.39822500000002</v>
      </c>
      <c r="H42" s="9">
        <v>768.74300000000005</v>
      </c>
      <c r="I42" s="61">
        <v>1730.61</v>
      </c>
      <c r="J42" s="29"/>
    </row>
    <row r="43" spans="1:10" x14ac:dyDescent="0.45">
      <c r="A43" s="29" t="s">
        <v>53</v>
      </c>
      <c r="B43" s="60">
        <v>39234</v>
      </c>
      <c r="C43" s="29" t="s">
        <v>45</v>
      </c>
      <c r="D43" s="9">
        <v>2010281</v>
      </c>
      <c r="E43" s="9">
        <v>434.18599999999998</v>
      </c>
      <c r="F43" s="9">
        <v>732.46493199999998</v>
      </c>
      <c r="G43" s="9">
        <v>684.61388999999997</v>
      </c>
      <c r="H43" s="9">
        <v>657.97699999999998</v>
      </c>
      <c r="I43" s="61">
        <v>1789.2760000000001</v>
      </c>
      <c r="J43" s="29"/>
    </row>
    <row r="44" spans="1:10" x14ac:dyDescent="0.45">
      <c r="A44" s="29" t="s">
        <v>52</v>
      </c>
      <c r="B44" s="60">
        <v>39264</v>
      </c>
      <c r="C44" s="29" t="s">
        <v>44</v>
      </c>
      <c r="D44" s="9">
        <v>2220285</v>
      </c>
      <c r="E44" s="9">
        <v>855.43100000000004</v>
      </c>
      <c r="F44" s="9">
        <v>105.911275</v>
      </c>
      <c r="G44" s="9">
        <v>616.68786</v>
      </c>
      <c r="H44" s="9">
        <v>712.95399999999995</v>
      </c>
      <c r="I44" s="61">
        <v>1659.7809999999999</v>
      </c>
      <c r="J44" s="29"/>
    </row>
    <row r="45" spans="1:10" x14ac:dyDescent="0.45">
      <c r="A45" s="29" t="s">
        <v>52</v>
      </c>
      <c r="B45" s="60">
        <v>39295</v>
      </c>
      <c r="C45" s="29" t="s">
        <v>43</v>
      </c>
      <c r="D45" s="9">
        <v>4417455</v>
      </c>
      <c r="E45" s="9">
        <v>363.35199999999998</v>
      </c>
      <c r="F45" s="9">
        <v>3.5264000000000002</v>
      </c>
      <c r="G45" s="9">
        <v>384.49509</v>
      </c>
      <c r="H45" s="9">
        <v>873.36099999999999</v>
      </c>
      <c r="I45" s="61">
        <v>1663.21</v>
      </c>
      <c r="J45" s="29"/>
    </row>
    <row r="46" spans="1:10" x14ac:dyDescent="0.45">
      <c r="A46" s="29" t="s">
        <v>52</v>
      </c>
      <c r="B46" s="60">
        <v>39326</v>
      </c>
      <c r="C46" s="29" t="s">
        <v>42</v>
      </c>
      <c r="D46" s="9">
        <v>4476431</v>
      </c>
      <c r="E46" s="9">
        <v>697.70399999999995</v>
      </c>
      <c r="F46" s="9">
        <v>1.04637</v>
      </c>
      <c r="G46" s="9">
        <v>119.72373</v>
      </c>
      <c r="H46" s="9">
        <v>747.529</v>
      </c>
      <c r="I46" s="61">
        <v>1403.59</v>
      </c>
      <c r="J46" s="29"/>
    </row>
    <row r="47" spans="1:10" x14ac:dyDescent="0.45">
      <c r="A47" s="29" t="s">
        <v>52</v>
      </c>
      <c r="B47" s="60">
        <v>39356</v>
      </c>
      <c r="C47" s="29" t="s">
        <v>41</v>
      </c>
      <c r="D47" s="9">
        <v>3824020</v>
      </c>
      <c r="E47" s="9">
        <v>369.69600000000003</v>
      </c>
      <c r="F47" s="9">
        <v>0.14399999999999999</v>
      </c>
      <c r="G47" s="9">
        <v>62.425154999999997</v>
      </c>
      <c r="H47" s="9">
        <v>706.68499999999995</v>
      </c>
      <c r="I47" s="61">
        <v>1539.2570000000001</v>
      </c>
      <c r="J47" s="29"/>
    </row>
    <row r="48" spans="1:10" x14ac:dyDescent="0.45">
      <c r="A48" s="29" t="s">
        <v>52</v>
      </c>
      <c r="B48" s="60">
        <v>39387</v>
      </c>
      <c r="C48" s="29" t="s">
        <v>40</v>
      </c>
      <c r="D48" s="9">
        <v>2842124</v>
      </c>
      <c r="E48" s="9">
        <v>255.577</v>
      </c>
      <c r="F48" s="9">
        <v>7.0000000000000007E-2</v>
      </c>
      <c r="G48" s="9">
        <v>488.93956500000002</v>
      </c>
      <c r="H48" s="9">
        <v>677.86300000000006</v>
      </c>
      <c r="I48" s="61">
        <v>1340.0809999999999</v>
      </c>
      <c r="J48" s="29"/>
    </row>
    <row r="49" spans="1:10" x14ac:dyDescent="0.45">
      <c r="A49" s="29" t="s">
        <v>52</v>
      </c>
      <c r="B49" s="60">
        <v>39417</v>
      </c>
      <c r="C49" s="29" t="s">
        <v>39</v>
      </c>
      <c r="D49" s="9">
        <v>2231594</v>
      </c>
      <c r="E49" s="9">
        <v>470.75099999999998</v>
      </c>
      <c r="F49" s="9">
        <v>0</v>
      </c>
      <c r="G49" s="9">
        <v>1842.254545</v>
      </c>
      <c r="H49" s="9">
        <v>480.34899999999999</v>
      </c>
      <c r="I49" s="61">
        <v>1201.528</v>
      </c>
      <c r="J49" s="29"/>
    </row>
    <row r="50" spans="1:10" x14ac:dyDescent="0.45">
      <c r="A50" s="29" t="s">
        <v>52</v>
      </c>
      <c r="B50" s="60">
        <v>39448</v>
      </c>
      <c r="C50" s="29" t="s">
        <v>38</v>
      </c>
      <c r="D50" s="9">
        <v>2454951</v>
      </c>
      <c r="E50" s="9">
        <v>465.33300000000003</v>
      </c>
      <c r="F50" s="9">
        <v>0</v>
      </c>
      <c r="G50" s="9">
        <v>3372.2331840000002</v>
      </c>
      <c r="H50" s="9">
        <v>631.80499999999995</v>
      </c>
      <c r="I50" s="61">
        <v>1195.25</v>
      </c>
      <c r="J50" s="29"/>
    </row>
    <row r="51" spans="1:10" x14ac:dyDescent="0.45">
      <c r="A51" s="29" t="s">
        <v>52</v>
      </c>
      <c r="B51" s="60">
        <v>39479</v>
      </c>
      <c r="C51" s="29" t="s">
        <v>37</v>
      </c>
      <c r="D51" s="9">
        <v>2276554</v>
      </c>
      <c r="E51" s="9">
        <v>639.47299999999996</v>
      </c>
      <c r="F51" s="9">
        <v>1.1940999999999999</v>
      </c>
      <c r="G51" s="9">
        <v>1746.5658109999999</v>
      </c>
      <c r="H51" s="9">
        <v>837.35599999999999</v>
      </c>
      <c r="I51" s="61">
        <v>1060.3430000000001</v>
      </c>
      <c r="J51" s="29"/>
    </row>
    <row r="52" spans="1:10" x14ac:dyDescent="0.45">
      <c r="A52" s="29" t="s">
        <v>52</v>
      </c>
      <c r="B52" s="60">
        <v>39508</v>
      </c>
      <c r="C52" s="29" t="s">
        <v>36</v>
      </c>
      <c r="D52" s="9">
        <v>2521344</v>
      </c>
      <c r="E52" s="9">
        <v>631.51199999999994</v>
      </c>
      <c r="F52" s="9">
        <v>153.06711999999999</v>
      </c>
      <c r="G52" s="9">
        <v>10.241186000000001</v>
      </c>
      <c r="H52" s="9">
        <v>1044.6410000000001</v>
      </c>
      <c r="I52" s="61">
        <v>1209.7529999999999</v>
      </c>
      <c r="J52" s="29"/>
    </row>
    <row r="53" spans="1:10" x14ac:dyDescent="0.45">
      <c r="A53" s="29" t="s">
        <v>52</v>
      </c>
      <c r="B53" s="60">
        <v>39539</v>
      </c>
      <c r="C53" s="29" t="s">
        <v>46</v>
      </c>
      <c r="D53" s="9">
        <v>2160572</v>
      </c>
      <c r="E53" s="9">
        <v>773.28</v>
      </c>
      <c r="F53" s="9">
        <v>21.996776000000001</v>
      </c>
      <c r="G53" s="9">
        <v>5.9724009999999996</v>
      </c>
      <c r="H53" s="9">
        <v>1620.856</v>
      </c>
      <c r="I53" s="61">
        <v>1320.422</v>
      </c>
      <c r="J53" s="29"/>
    </row>
    <row r="54" spans="1:10" x14ac:dyDescent="0.45">
      <c r="A54" s="29" t="s">
        <v>52</v>
      </c>
      <c r="B54" s="60">
        <v>39569</v>
      </c>
      <c r="C54" s="29" t="s">
        <v>17</v>
      </c>
      <c r="D54" s="9">
        <v>2158694</v>
      </c>
      <c r="E54" s="9">
        <v>954.64800000000002</v>
      </c>
      <c r="F54" s="9">
        <v>140.67432199999999</v>
      </c>
      <c r="G54" s="9">
        <v>3.4716300000000002</v>
      </c>
      <c r="H54" s="9">
        <v>1248.5840000000001</v>
      </c>
      <c r="I54" s="61">
        <v>1654.626</v>
      </c>
      <c r="J54" s="29"/>
    </row>
    <row r="55" spans="1:10" x14ac:dyDescent="0.45">
      <c r="A55" s="29" t="s">
        <v>52</v>
      </c>
      <c r="B55" s="60">
        <v>39600</v>
      </c>
      <c r="C55" s="29" t="s">
        <v>45</v>
      </c>
      <c r="D55" s="9">
        <v>2093975</v>
      </c>
      <c r="E55" s="9">
        <v>690.71799999999996</v>
      </c>
      <c r="F55" s="9">
        <v>483.59571499999998</v>
      </c>
      <c r="G55" s="9">
        <v>94.968905000000007</v>
      </c>
      <c r="H55" s="9">
        <v>1195.8810000000001</v>
      </c>
      <c r="I55" s="61">
        <v>1007.292</v>
      </c>
      <c r="J55" s="29"/>
    </row>
    <row r="56" spans="1:10" x14ac:dyDescent="0.45">
      <c r="A56" s="29" t="s">
        <v>51</v>
      </c>
      <c r="B56" s="60">
        <v>39630</v>
      </c>
      <c r="C56" s="29" t="s">
        <v>44</v>
      </c>
      <c r="D56" s="9">
        <v>3250008</v>
      </c>
      <c r="E56" s="9">
        <v>701.33699999999999</v>
      </c>
      <c r="F56" s="9">
        <v>645.91103199999998</v>
      </c>
      <c r="G56" s="9">
        <v>115.26214</v>
      </c>
      <c r="H56" s="9">
        <v>1222.048</v>
      </c>
      <c r="I56" s="61">
        <v>1221.42</v>
      </c>
      <c r="J56" s="29"/>
    </row>
    <row r="57" spans="1:10" x14ac:dyDescent="0.45">
      <c r="A57" s="29" t="s">
        <v>51</v>
      </c>
      <c r="B57" s="60">
        <v>39661</v>
      </c>
      <c r="C57" s="29" t="s">
        <v>43</v>
      </c>
      <c r="D57" s="9">
        <v>3855067</v>
      </c>
      <c r="E57" s="9">
        <v>805.01199999999994</v>
      </c>
      <c r="F57" s="9">
        <v>907.86192200000005</v>
      </c>
      <c r="G57" s="9">
        <v>462.45934799999998</v>
      </c>
      <c r="H57" s="9">
        <v>1826.5160000000001</v>
      </c>
      <c r="I57" s="61">
        <v>1160.038</v>
      </c>
      <c r="J57" s="29"/>
    </row>
    <row r="58" spans="1:10" x14ac:dyDescent="0.45">
      <c r="A58" s="29" t="s">
        <v>51</v>
      </c>
      <c r="B58" s="60">
        <v>39692</v>
      </c>
      <c r="C58" s="29" t="s">
        <v>42</v>
      </c>
      <c r="D58" s="9">
        <v>3177851</v>
      </c>
      <c r="E58" s="9">
        <v>439.79899999999998</v>
      </c>
      <c r="F58" s="9">
        <v>1542.17283</v>
      </c>
      <c r="G58" s="9">
        <v>891.43461500000001</v>
      </c>
      <c r="H58" s="9">
        <v>2482.788</v>
      </c>
      <c r="I58" s="61">
        <v>1119.4159999999999</v>
      </c>
      <c r="J58" s="29"/>
    </row>
    <row r="59" spans="1:10" x14ac:dyDescent="0.45">
      <c r="A59" s="29" t="s">
        <v>51</v>
      </c>
      <c r="B59" s="60">
        <v>39722</v>
      </c>
      <c r="C59" s="29" t="s">
        <v>41</v>
      </c>
      <c r="D59" s="9">
        <v>2543171</v>
      </c>
      <c r="E59" s="9">
        <v>520.46100000000001</v>
      </c>
      <c r="F59" s="9">
        <v>1333.899733</v>
      </c>
      <c r="G59" s="9">
        <v>621.72833000000003</v>
      </c>
      <c r="H59" s="9">
        <v>2843.9650000000001</v>
      </c>
      <c r="I59" s="61">
        <v>1480.4960000000001</v>
      </c>
      <c r="J59" s="29"/>
    </row>
    <row r="60" spans="1:10" x14ac:dyDescent="0.45">
      <c r="A60" s="29" t="s">
        <v>51</v>
      </c>
      <c r="B60" s="60">
        <v>39753</v>
      </c>
      <c r="C60" s="29" t="s">
        <v>40</v>
      </c>
      <c r="D60" s="9">
        <v>2113472</v>
      </c>
      <c r="E60" s="9">
        <v>496.90899999999999</v>
      </c>
      <c r="F60" s="9">
        <v>1237.604073</v>
      </c>
      <c r="G60" s="9">
        <v>599.76840400000003</v>
      </c>
      <c r="H60" s="9">
        <v>1999.6320000000001</v>
      </c>
      <c r="I60" s="61">
        <v>1740.779</v>
      </c>
      <c r="J60" s="29"/>
    </row>
    <row r="61" spans="1:10" x14ac:dyDescent="0.45">
      <c r="A61" s="29" t="s">
        <v>51</v>
      </c>
      <c r="B61" s="60">
        <v>39783</v>
      </c>
      <c r="C61" s="29" t="s">
        <v>39</v>
      </c>
      <c r="D61" s="9">
        <v>1415203</v>
      </c>
      <c r="E61" s="9">
        <v>1159.5319999999999</v>
      </c>
      <c r="F61" s="9">
        <v>1043.3219650000001</v>
      </c>
      <c r="G61" s="9">
        <v>848.15759000000003</v>
      </c>
      <c r="H61" s="9">
        <v>1699.297</v>
      </c>
      <c r="I61" s="61">
        <v>1335.008</v>
      </c>
      <c r="J61" s="29"/>
    </row>
    <row r="62" spans="1:10" x14ac:dyDescent="0.45">
      <c r="A62" s="29" t="s">
        <v>51</v>
      </c>
      <c r="B62" s="60">
        <v>39814</v>
      </c>
      <c r="C62" s="29" t="s">
        <v>38</v>
      </c>
      <c r="D62" s="9">
        <v>1539000</v>
      </c>
      <c r="E62" s="9">
        <v>1262.662</v>
      </c>
      <c r="F62" s="9">
        <v>663.05717500000003</v>
      </c>
      <c r="G62" s="9">
        <v>1167.7414739999999</v>
      </c>
      <c r="H62" s="9">
        <v>1551.2239999999999</v>
      </c>
      <c r="I62" s="61">
        <v>1696.825</v>
      </c>
      <c r="J62" s="29"/>
    </row>
    <row r="63" spans="1:10" x14ac:dyDescent="0.45">
      <c r="A63" s="29" t="s">
        <v>51</v>
      </c>
      <c r="B63" s="60">
        <v>39845</v>
      </c>
      <c r="C63" s="29" t="s">
        <v>37</v>
      </c>
      <c r="D63" s="9">
        <v>1519147</v>
      </c>
      <c r="E63" s="9">
        <v>1308.0160000000001</v>
      </c>
      <c r="F63" s="9">
        <v>1045.416845</v>
      </c>
      <c r="G63" s="9">
        <v>1107.0681099999999</v>
      </c>
      <c r="H63" s="9">
        <v>1816.13</v>
      </c>
      <c r="I63" s="61">
        <v>1485.79</v>
      </c>
      <c r="J63" s="29"/>
    </row>
    <row r="64" spans="1:10" x14ac:dyDescent="0.45">
      <c r="A64" s="29" t="s">
        <v>51</v>
      </c>
      <c r="B64" s="60">
        <v>39873</v>
      </c>
      <c r="C64" s="29" t="s">
        <v>36</v>
      </c>
      <c r="D64" s="9">
        <v>2056962</v>
      </c>
      <c r="E64" s="9">
        <v>1995.53</v>
      </c>
      <c r="F64" s="9">
        <v>1103.66893</v>
      </c>
      <c r="G64" s="9">
        <v>519.96947499999999</v>
      </c>
      <c r="H64" s="9">
        <v>2325.69</v>
      </c>
      <c r="I64" s="61">
        <v>1483.31</v>
      </c>
      <c r="J64" s="29"/>
    </row>
    <row r="65" spans="1:10" x14ac:dyDescent="0.45">
      <c r="A65" s="29" t="s">
        <v>51</v>
      </c>
      <c r="B65" s="60">
        <v>39904</v>
      </c>
      <c r="C65" s="29" t="s">
        <v>46</v>
      </c>
      <c r="D65" s="9">
        <v>1658909</v>
      </c>
      <c r="E65" s="9">
        <v>1618.0930000000001</v>
      </c>
      <c r="F65" s="9">
        <v>1220.7162310000001</v>
      </c>
      <c r="G65" s="9">
        <v>460.28032000000002</v>
      </c>
      <c r="H65" s="9">
        <v>2052.3620000000001</v>
      </c>
      <c r="I65" s="61">
        <v>2194.3820000000001</v>
      </c>
      <c r="J65" s="29"/>
    </row>
    <row r="66" spans="1:10" x14ac:dyDescent="0.45">
      <c r="A66" s="29" t="s">
        <v>51</v>
      </c>
      <c r="B66" s="60">
        <v>39934</v>
      </c>
      <c r="C66" s="29" t="s">
        <v>17</v>
      </c>
      <c r="D66" s="9">
        <v>1787816</v>
      </c>
      <c r="E66" s="9">
        <v>1294.0530000000001</v>
      </c>
      <c r="F66" s="9">
        <v>1081.793825</v>
      </c>
      <c r="G66" s="9">
        <v>331.23043000000001</v>
      </c>
      <c r="H66" s="9">
        <v>1722.172</v>
      </c>
      <c r="I66" s="61">
        <v>1944.835</v>
      </c>
      <c r="J66" s="29"/>
    </row>
    <row r="67" spans="1:10" x14ac:dyDescent="0.45">
      <c r="A67" s="29" t="s">
        <v>51</v>
      </c>
      <c r="B67" s="60">
        <v>39965</v>
      </c>
      <c r="C67" s="29" t="s">
        <v>45</v>
      </c>
      <c r="D67" s="9">
        <v>1735410</v>
      </c>
      <c r="E67" s="9">
        <v>1640.471</v>
      </c>
      <c r="F67" s="9">
        <v>834.92060800000002</v>
      </c>
      <c r="G67" s="9">
        <v>180.436995</v>
      </c>
      <c r="H67" s="9">
        <v>2209.8530000000001</v>
      </c>
      <c r="I67" s="61">
        <v>1570.3320000000001</v>
      </c>
      <c r="J67" s="29"/>
    </row>
    <row r="68" spans="1:10" x14ac:dyDescent="0.45">
      <c r="A68" s="29" t="s">
        <v>50</v>
      </c>
      <c r="B68" s="60">
        <v>39995</v>
      </c>
      <c r="C68" s="29" t="s">
        <v>44</v>
      </c>
      <c r="D68" s="9">
        <v>1594090</v>
      </c>
      <c r="E68" s="9">
        <v>1048.98</v>
      </c>
      <c r="F68" s="9">
        <v>592.84355000000005</v>
      </c>
      <c r="G68" s="9">
        <v>67.640294999999995</v>
      </c>
      <c r="H68" s="9">
        <v>1622.509</v>
      </c>
      <c r="I68" s="61">
        <v>1426.5719999999999</v>
      </c>
      <c r="J68" s="29"/>
    </row>
    <row r="69" spans="1:10" x14ac:dyDescent="0.45">
      <c r="A69" s="29" t="s">
        <v>50</v>
      </c>
      <c r="B69" s="60">
        <v>40026</v>
      </c>
      <c r="C69" s="29" t="s">
        <v>43</v>
      </c>
      <c r="D69" s="9">
        <v>1884094</v>
      </c>
      <c r="E69" s="9">
        <v>1241.4649999999999</v>
      </c>
      <c r="F69" s="9">
        <v>1148.982647</v>
      </c>
      <c r="G69" s="9">
        <v>34.760415000000002</v>
      </c>
      <c r="H69" s="9">
        <v>1696.6959999999999</v>
      </c>
      <c r="I69" s="61">
        <v>1632.415</v>
      </c>
      <c r="J69" s="29"/>
    </row>
    <row r="70" spans="1:10" x14ac:dyDescent="0.45">
      <c r="A70" s="29" t="s">
        <v>50</v>
      </c>
      <c r="B70" s="60">
        <v>40057</v>
      </c>
      <c r="C70" s="29" t="s">
        <v>42</v>
      </c>
      <c r="D70" s="9">
        <v>2697617</v>
      </c>
      <c r="E70" s="9">
        <v>981.52200000000005</v>
      </c>
      <c r="F70" s="9">
        <v>1793.2316000000001</v>
      </c>
      <c r="G70" s="9">
        <v>0.516629</v>
      </c>
      <c r="H70" s="9">
        <v>2018.924</v>
      </c>
      <c r="I70" s="61">
        <v>1406.5940000000001</v>
      </c>
      <c r="J70" s="29"/>
    </row>
    <row r="71" spans="1:10" x14ac:dyDescent="0.45">
      <c r="A71" s="29" t="s">
        <v>50</v>
      </c>
      <c r="B71" s="60">
        <v>40087</v>
      </c>
      <c r="C71" s="29" t="s">
        <v>41</v>
      </c>
      <c r="D71" s="9">
        <v>2122227</v>
      </c>
      <c r="E71" s="9">
        <v>761.34400000000005</v>
      </c>
      <c r="F71" s="9">
        <v>1248.1419410000001</v>
      </c>
      <c r="G71" s="9">
        <v>213.17987199999999</v>
      </c>
      <c r="H71" s="9">
        <v>1835.94</v>
      </c>
      <c r="I71" s="61">
        <v>1562.192</v>
      </c>
      <c r="J71" s="29"/>
    </row>
    <row r="72" spans="1:10" x14ac:dyDescent="0.45">
      <c r="A72" s="29" t="s">
        <v>50</v>
      </c>
      <c r="B72" s="60">
        <v>40118</v>
      </c>
      <c r="C72" s="29" t="s">
        <v>40</v>
      </c>
      <c r="D72" s="9">
        <v>1841381</v>
      </c>
      <c r="E72" s="9">
        <v>766.697</v>
      </c>
      <c r="F72" s="9">
        <v>935.97428300000001</v>
      </c>
      <c r="G72" s="9">
        <v>486.163723</v>
      </c>
      <c r="H72" s="9">
        <v>1200.7470000000001</v>
      </c>
      <c r="I72" s="61">
        <v>1509.4929999999999</v>
      </c>
      <c r="J72" s="29"/>
    </row>
    <row r="73" spans="1:10" x14ac:dyDescent="0.45">
      <c r="A73" s="29" t="s">
        <v>50</v>
      </c>
      <c r="B73" s="60">
        <v>40148</v>
      </c>
      <c r="C73" s="29" t="s">
        <v>39</v>
      </c>
      <c r="D73" s="9">
        <v>1483328</v>
      </c>
      <c r="E73" s="9">
        <v>1077.231</v>
      </c>
      <c r="F73" s="9">
        <v>1036.102631</v>
      </c>
      <c r="G73" s="9">
        <v>549.01935500000002</v>
      </c>
      <c r="H73" s="9">
        <v>1420.845</v>
      </c>
      <c r="I73" s="61">
        <v>1366.3689999999999</v>
      </c>
      <c r="J73" s="29"/>
    </row>
    <row r="74" spans="1:10" x14ac:dyDescent="0.45">
      <c r="A74" s="29" t="s">
        <v>50</v>
      </c>
      <c r="B74" s="60">
        <v>40179</v>
      </c>
      <c r="C74" s="29" t="s">
        <v>38</v>
      </c>
      <c r="D74" s="9">
        <v>1689616</v>
      </c>
      <c r="E74" s="9">
        <v>1385.521</v>
      </c>
      <c r="F74" s="9">
        <v>608.66269999999997</v>
      </c>
      <c r="G74" s="9">
        <v>571.236898</v>
      </c>
      <c r="H74" s="9">
        <v>1560.154</v>
      </c>
      <c r="I74" s="61">
        <v>1582.848</v>
      </c>
      <c r="J74" s="9">
        <v>0</v>
      </c>
    </row>
    <row r="75" spans="1:10" x14ac:dyDescent="0.45">
      <c r="A75" s="29" t="s">
        <v>50</v>
      </c>
      <c r="B75" s="60">
        <v>40210</v>
      </c>
      <c r="C75" s="29" t="s">
        <v>37</v>
      </c>
      <c r="D75" s="9">
        <v>2125368</v>
      </c>
      <c r="E75" s="9">
        <v>1226.4390000000001</v>
      </c>
      <c r="F75" s="9">
        <v>318.22896700000001</v>
      </c>
      <c r="G75" s="9">
        <v>420.48719999999997</v>
      </c>
      <c r="H75" s="9">
        <v>1866.299</v>
      </c>
      <c r="I75" s="61">
        <v>1291.79</v>
      </c>
      <c r="J75" s="9">
        <v>0</v>
      </c>
    </row>
    <row r="76" spans="1:10" x14ac:dyDescent="0.45">
      <c r="A76" s="29" t="s">
        <v>50</v>
      </c>
      <c r="B76" s="60">
        <v>40238</v>
      </c>
      <c r="C76" s="29" t="s">
        <v>36</v>
      </c>
      <c r="D76" s="9">
        <v>2009733</v>
      </c>
      <c r="E76" s="9">
        <v>1447.307</v>
      </c>
      <c r="F76" s="9">
        <v>544.94771600000001</v>
      </c>
      <c r="G76" s="9">
        <v>316.34187100000003</v>
      </c>
      <c r="H76" s="9">
        <v>1851.7550000000001</v>
      </c>
      <c r="I76" s="61">
        <v>1529.8330000000001</v>
      </c>
      <c r="J76" s="9">
        <v>2.47E-2</v>
      </c>
    </row>
    <row r="77" spans="1:10" x14ac:dyDescent="0.45">
      <c r="A77" s="29" t="s">
        <v>50</v>
      </c>
      <c r="B77" s="60">
        <v>40269</v>
      </c>
      <c r="C77" s="29" t="s">
        <v>46</v>
      </c>
      <c r="D77" s="9">
        <v>2093784</v>
      </c>
      <c r="E77" s="9">
        <v>1051.912</v>
      </c>
      <c r="F77" s="9">
        <v>337.83063900000002</v>
      </c>
      <c r="G77" s="9">
        <v>438.16073</v>
      </c>
      <c r="H77" s="9">
        <v>1832.308</v>
      </c>
      <c r="I77" s="61">
        <v>1695.6880000000001</v>
      </c>
      <c r="J77" s="9">
        <v>0</v>
      </c>
    </row>
    <row r="78" spans="1:10" x14ac:dyDescent="0.45">
      <c r="A78" s="29" t="s">
        <v>50</v>
      </c>
      <c r="B78" s="60">
        <v>40299</v>
      </c>
      <c r="C78" s="29" t="s">
        <v>17</v>
      </c>
      <c r="D78" s="9">
        <v>1836920</v>
      </c>
      <c r="E78" s="9">
        <v>1464.173</v>
      </c>
      <c r="F78" s="9">
        <v>231.90591699999999</v>
      </c>
      <c r="G78" s="9">
        <v>411.29309499999999</v>
      </c>
      <c r="H78" s="9">
        <v>1784.8989999999999</v>
      </c>
      <c r="I78" s="61">
        <v>2036.991</v>
      </c>
      <c r="J78" s="9">
        <v>0</v>
      </c>
    </row>
    <row r="79" spans="1:10" x14ac:dyDescent="0.45">
      <c r="A79" s="29" t="s">
        <v>50</v>
      </c>
      <c r="B79" s="60">
        <v>40330</v>
      </c>
      <c r="C79" s="29" t="s">
        <v>45</v>
      </c>
      <c r="D79" s="9">
        <v>1958479</v>
      </c>
      <c r="E79" s="9">
        <v>1138.1220000000001</v>
      </c>
      <c r="F79" s="9">
        <v>204.652579</v>
      </c>
      <c r="G79" s="9">
        <v>444.75707499999999</v>
      </c>
      <c r="H79" s="9">
        <v>1954.54</v>
      </c>
      <c r="I79" s="61">
        <v>1674.4870000000001</v>
      </c>
      <c r="J79" s="9">
        <v>1.4604000000000001E-2</v>
      </c>
    </row>
    <row r="80" spans="1:10" x14ac:dyDescent="0.45">
      <c r="A80" s="29" t="s">
        <v>49</v>
      </c>
      <c r="B80" s="60">
        <v>40360</v>
      </c>
      <c r="C80" s="29" t="s">
        <v>44</v>
      </c>
      <c r="D80" s="9">
        <v>2213007</v>
      </c>
      <c r="E80" s="9">
        <v>1604.9929999999999</v>
      </c>
      <c r="F80" s="9">
        <v>217.94442699999999</v>
      </c>
      <c r="G80" s="9">
        <v>253.34020000000001</v>
      </c>
      <c r="H80" s="9">
        <v>1275.9280000000001</v>
      </c>
      <c r="I80" s="61">
        <v>1471.2550000000001</v>
      </c>
      <c r="J80" s="9">
        <v>0</v>
      </c>
    </row>
    <row r="81" spans="1:10" x14ac:dyDescent="0.45">
      <c r="A81" s="29" t="s">
        <v>49</v>
      </c>
      <c r="B81" s="60">
        <v>40391</v>
      </c>
      <c r="C81" s="29" t="s">
        <v>43</v>
      </c>
      <c r="D81" s="9">
        <v>2896203</v>
      </c>
      <c r="E81" s="9">
        <v>1384.029</v>
      </c>
      <c r="F81" s="9">
        <v>422.91309699999999</v>
      </c>
      <c r="G81" s="9">
        <v>140.92142999999999</v>
      </c>
      <c r="H81" s="9">
        <v>1440.201</v>
      </c>
      <c r="I81" s="61">
        <v>1418.002</v>
      </c>
      <c r="J81" s="9">
        <v>0.26198100000000002</v>
      </c>
    </row>
    <row r="82" spans="1:10" x14ac:dyDescent="0.45">
      <c r="A82" s="29" t="s">
        <v>49</v>
      </c>
      <c r="B82" s="60">
        <v>40422</v>
      </c>
      <c r="C82" s="29" t="s">
        <v>42</v>
      </c>
      <c r="D82" s="9">
        <v>3428069</v>
      </c>
      <c r="E82" s="9">
        <v>1352.893</v>
      </c>
      <c r="F82" s="9">
        <v>608.31982100000005</v>
      </c>
      <c r="G82" s="9">
        <v>147.52524</v>
      </c>
      <c r="H82" s="9">
        <v>2955.652</v>
      </c>
      <c r="I82" s="61">
        <v>1405.556</v>
      </c>
      <c r="J82" s="9">
        <v>3.1399999999999997E-2</v>
      </c>
    </row>
    <row r="83" spans="1:10" x14ac:dyDescent="0.45">
      <c r="A83" s="29" t="s">
        <v>49</v>
      </c>
      <c r="B83" s="60">
        <v>40452</v>
      </c>
      <c r="C83" s="29" t="s">
        <v>41</v>
      </c>
      <c r="D83" s="9">
        <v>2446992</v>
      </c>
      <c r="E83" s="9">
        <v>1637.818</v>
      </c>
      <c r="F83" s="9">
        <v>753.95514600000001</v>
      </c>
      <c r="G83" s="9">
        <v>75.022194999999996</v>
      </c>
      <c r="H83" s="9">
        <v>2335.9780000000001</v>
      </c>
      <c r="I83" s="61">
        <v>1411.192</v>
      </c>
      <c r="J83" s="9">
        <v>2.5000000000000001E-3</v>
      </c>
    </row>
    <row r="84" spans="1:10" x14ac:dyDescent="0.45">
      <c r="A84" s="29" t="s">
        <v>49</v>
      </c>
      <c r="B84" s="60">
        <v>40483</v>
      </c>
      <c r="C84" s="29" t="s">
        <v>40</v>
      </c>
      <c r="D84" s="9">
        <v>2430691</v>
      </c>
      <c r="E84" s="9">
        <v>912.78200000000004</v>
      </c>
      <c r="F84" s="9">
        <v>195.079622</v>
      </c>
      <c r="G84" s="9">
        <v>53.844700000000003</v>
      </c>
      <c r="H84" s="9">
        <v>2321.3090000000002</v>
      </c>
      <c r="I84" s="61">
        <v>1392.713</v>
      </c>
      <c r="J84" s="9">
        <v>0</v>
      </c>
    </row>
    <row r="85" spans="1:10" x14ac:dyDescent="0.45">
      <c r="A85" s="29" t="s">
        <v>49</v>
      </c>
      <c r="B85" s="60">
        <v>40513</v>
      </c>
      <c r="C85" s="29" t="s">
        <v>39</v>
      </c>
      <c r="D85" s="9">
        <v>2478685</v>
      </c>
      <c r="E85" s="9">
        <v>1246.424</v>
      </c>
      <c r="F85" s="9">
        <v>361.723929</v>
      </c>
      <c r="G85" s="9">
        <v>766.06604500000003</v>
      </c>
      <c r="H85" s="9">
        <v>1521.1880000000001</v>
      </c>
      <c r="I85" s="61">
        <v>1484.1369999999999</v>
      </c>
      <c r="J85" s="9">
        <v>4.0091000000000002E-2</v>
      </c>
    </row>
    <row r="86" spans="1:10" x14ac:dyDescent="0.45">
      <c r="A86" s="29" t="s">
        <v>49</v>
      </c>
      <c r="B86" s="60">
        <v>40544</v>
      </c>
      <c r="C86" s="29" t="s">
        <v>38</v>
      </c>
      <c r="D86" s="9">
        <v>2984609</v>
      </c>
      <c r="E86" s="9">
        <v>1755.268</v>
      </c>
      <c r="F86" s="9">
        <v>37.055390000000003</v>
      </c>
      <c r="G86" s="9">
        <v>1124.6281690000001</v>
      </c>
      <c r="H86" s="9">
        <v>1347.9490000000001</v>
      </c>
      <c r="I86" s="61">
        <v>1040.634</v>
      </c>
      <c r="J86" s="9">
        <v>2.1748E-2</v>
      </c>
    </row>
    <row r="87" spans="1:10" x14ac:dyDescent="0.45">
      <c r="A87" s="29" t="s">
        <v>49</v>
      </c>
      <c r="B87" s="60">
        <v>40575</v>
      </c>
      <c r="C87" s="29" t="s">
        <v>37</v>
      </c>
      <c r="D87" s="9">
        <v>2757889</v>
      </c>
      <c r="E87" s="9">
        <v>1836.5550000000001</v>
      </c>
      <c r="F87" s="9">
        <v>193.94697099999999</v>
      </c>
      <c r="G87" s="9">
        <v>1156.3569809999999</v>
      </c>
      <c r="H87" s="9">
        <v>1620.752</v>
      </c>
      <c r="I87" s="61">
        <v>932.55899999999997</v>
      </c>
      <c r="J87" s="9">
        <v>6.0480000000000004E-3</v>
      </c>
    </row>
    <row r="88" spans="1:10" x14ac:dyDescent="0.45">
      <c r="A88" s="29" t="s">
        <v>49</v>
      </c>
      <c r="B88" s="60">
        <v>40603</v>
      </c>
      <c r="C88" s="29" t="s">
        <v>36</v>
      </c>
      <c r="D88" s="9">
        <v>3370651</v>
      </c>
      <c r="E88" s="9">
        <v>1678.182</v>
      </c>
      <c r="F88" s="9">
        <v>322.60136799999998</v>
      </c>
      <c r="G88" s="9">
        <v>984.884908</v>
      </c>
      <c r="H88" s="9">
        <v>2439.6970000000001</v>
      </c>
      <c r="I88" s="61">
        <v>1272.251</v>
      </c>
      <c r="J88" s="9">
        <v>1.61E-2</v>
      </c>
    </row>
    <row r="89" spans="1:10" x14ac:dyDescent="0.45">
      <c r="A89" s="29" t="s">
        <v>49</v>
      </c>
      <c r="B89" s="60">
        <v>40634</v>
      </c>
      <c r="C89" s="29" t="s">
        <v>46</v>
      </c>
      <c r="D89" s="9">
        <v>4019312</v>
      </c>
      <c r="E89" s="9">
        <v>1687.925</v>
      </c>
      <c r="F89" s="9">
        <v>152.73443800000001</v>
      </c>
      <c r="G89" s="9">
        <v>636.04062999999996</v>
      </c>
      <c r="H89" s="9">
        <v>1344.355</v>
      </c>
      <c r="I89" s="61">
        <v>1618.7329999999999</v>
      </c>
      <c r="J89" s="9">
        <v>0</v>
      </c>
    </row>
    <row r="90" spans="1:10" x14ac:dyDescent="0.45">
      <c r="A90" s="29" t="s">
        <v>49</v>
      </c>
      <c r="B90" s="60">
        <v>40664</v>
      </c>
      <c r="C90" s="29" t="s">
        <v>17</v>
      </c>
      <c r="D90" s="9">
        <v>3514881</v>
      </c>
      <c r="E90" s="9">
        <v>1812.67</v>
      </c>
      <c r="F90" s="9">
        <v>72.595982000000006</v>
      </c>
      <c r="G90" s="9">
        <v>479.992345</v>
      </c>
      <c r="H90" s="9">
        <v>1565.721</v>
      </c>
      <c r="I90" s="61">
        <v>1540.336</v>
      </c>
      <c r="J90" s="9">
        <v>4.0000000000000001E-3</v>
      </c>
    </row>
    <row r="91" spans="1:10" x14ac:dyDescent="0.45">
      <c r="A91" s="29" t="s">
        <v>49</v>
      </c>
      <c r="B91" s="60">
        <v>40695</v>
      </c>
      <c r="C91" s="29" t="s">
        <v>45</v>
      </c>
      <c r="D91" s="9">
        <v>2877162</v>
      </c>
      <c r="E91" s="9">
        <v>1437.97</v>
      </c>
      <c r="F91" s="9">
        <v>806.27274299999999</v>
      </c>
      <c r="G91" s="9">
        <v>588.28198699999996</v>
      </c>
      <c r="H91" s="9">
        <v>1113.846</v>
      </c>
      <c r="I91" s="61">
        <v>1484.163</v>
      </c>
      <c r="J91" s="9">
        <v>0.20930000000000001</v>
      </c>
    </row>
    <row r="92" spans="1:10" x14ac:dyDescent="0.45">
      <c r="A92" s="29" t="s">
        <v>48</v>
      </c>
      <c r="B92" s="60">
        <v>40725</v>
      </c>
      <c r="C92" s="29" t="s">
        <v>44</v>
      </c>
      <c r="D92" s="9">
        <v>2270128</v>
      </c>
      <c r="E92" s="9">
        <v>1687.5239999999999</v>
      </c>
      <c r="F92" s="9">
        <v>136.99258599999999</v>
      </c>
      <c r="G92" s="9">
        <v>377.98827499999999</v>
      </c>
      <c r="H92" s="9">
        <v>1022.072</v>
      </c>
      <c r="I92" s="61">
        <v>1282.557</v>
      </c>
      <c r="J92" s="9">
        <v>2.8</v>
      </c>
    </row>
    <row r="93" spans="1:10" x14ac:dyDescent="0.45">
      <c r="A93" s="29" t="s">
        <v>48</v>
      </c>
      <c r="B93" s="60">
        <v>40756</v>
      </c>
      <c r="C93" s="29" t="s">
        <v>43</v>
      </c>
      <c r="D93" s="9">
        <v>2723925</v>
      </c>
      <c r="E93" s="9">
        <v>1383.8050000000001</v>
      </c>
      <c r="F93" s="9">
        <v>567.21168</v>
      </c>
      <c r="G93" s="9">
        <v>629.14156300000002</v>
      </c>
      <c r="H93" s="9">
        <v>1198.585</v>
      </c>
      <c r="I93" s="61">
        <v>1385.7940000000001</v>
      </c>
      <c r="J93" s="9">
        <v>0</v>
      </c>
    </row>
    <row r="94" spans="1:10" x14ac:dyDescent="0.45">
      <c r="A94" s="29" t="s">
        <v>48</v>
      </c>
      <c r="B94" s="60">
        <v>40787</v>
      </c>
      <c r="C94" s="29" t="s">
        <v>42</v>
      </c>
      <c r="D94" s="9">
        <v>2707739</v>
      </c>
      <c r="E94" s="9">
        <v>1437.9649999999999</v>
      </c>
      <c r="F94" s="9">
        <v>830.18803300000002</v>
      </c>
      <c r="G94" s="9">
        <v>488.35017800000003</v>
      </c>
      <c r="H94" s="9">
        <v>1837.8119999999999</v>
      </c>
      <c r="I94" s="61">
        <v>1438.396</v>
      </c>
      <c r="J94" s="9">
        <v>19.060662000000001</v>
      </c>
    </row>
    <row r="95" spans="1:10" x14ac:dyDescent="0.45">
      <c r="A95" s="29" t="s">
        <v>48</v>
      </c>
      <c r="B95" s="60">
        <v>40817</v>
      </c>
      <c r="C95" s="29" t="s">
        <v>41</v>
      </c>
      <c r="D95" s="9">
        <v>1962121</v>
      </c>
      <c r="E95" s="9">
        <v>1169.3230000000001</v>
      </c>
      <c r="F95" s="9">
        <v>140.14698999999999</v>
      </c>
      <c r="G95" s="9">
        <v>451.00295999999997</v>
      </c>
      <c r="H95" s="9">
        <v>1485.748</v>
      </c>
      <c r="I95" s="61">
        <v>1327.3389999999999</v>
      </c>
      <c r="J95" s="9">
        <v>149.96696399999999</v>
      </c>
    </row>
    <row r="96" spans="1:10" x14ac:dyDescent="0.45">
      <c r="A96" s="29" t="s">
        <v>48</v>
      </c>
      <c r="B96" s="60">
        <v>40848</v>
      </c>
      <c r="C96" s="29" t="s">
        <v>40</v>
      </c>
      <c r="D96" s="9">
        <v>1667605</v>
      </c>
      <c r="E96" s="9">
        <v>1762.412</v>
      </c>
      <c r="F96" s="9">
        <v>466.28957500000001</v>
      </c>
      <c r="G96" s="9">
        <v>449.35233499999998</v>
      </c>
      <c r="H96" s="9">
        <v>1804.546</v>
      </c>
      <c r="I96" s="61">
        <v>1460.85</v>
      </c>
      <c r="J96" s="9">
        <v>150.686532</v>
      </c>
    </row>
    <row r="97" spans="1:10" x14ac:dyDescent="0.45">
      <c r="A97" s="29" t="s">
        <v>48</v>
      </c>
      <c r="B97" s="60">
        <v>40878</v>
      </c>
      <c r="C97" s="29" t="s">
        <v>39</v>
      </c>
      <c r="D97" s="9">
        <v>1945931</v>
      </c>
      <c r="E97" s="9">
        <v>2034.731</v>
      </c>
      <c r="F97" s="9">
        <v>339.44728099999998</v>
      </c>
      <c r="G97" s="9">
        <v>824.00250000000005</v>
      </c>
      <c r="H97" s="9">
        <v>1226.2629999999999</v>
      </c>
      <c r="I97" s="61">
        <v>1551.25</v>
      </c>
      <c r="J97" s="9">
        <v>177.154079</v>
      </c>
    </row>
    <row r="98" spans="1:10" x14ac:dyDescent="0.45">
      <c r="A98" s="29" t="s">
        <v>48</v>
      </c>
      <c r="B98" s="60">
        <v>40909</v>
      </c>
      <c r="C98" s="29" t="s">
        <v>38</v>
      </c>
      <c r="D98" s="9">
        <v>1979748</v>
      </c>
      <c r="E98" s="9">
        <v>2130.0329999999999</v>
      </c>
      <c r="F98" s="9">
        <v>362.59286900000001</v>
      </c>
      <c r="G98" s="9">
        <v>1363.221452</v>
      </c>
      <c r="H98" s="9">
        <v>1099.0450000000001</v>
      </c>
      <c r="I98" s="9">
        <v>1132.6759999999999</v>
      </c>
      <c r="J98" s="9">
        <v>100.88847199999999</v>
      </c>
    </row>
    <row r="99" spans="1:10" x14ac:dyDescent="0.45">
      <c r="A99" s="29" t="s">
        <v>48</v>
      </c>
      <c r="B99" s="60">
        <v>40940</v>
      </c>
      <c r="C99" s="29" t="s">
        <v>37</v>
      </c>
      <c r="D99" s="9">
        <v>1877925</v>
      </c>
      <c r="E99" s="9">
        <v>2374.239</v>
      </c>
      <c r="F99" s="9">
        <v>378.682095</v>
      </c>
      <c r="G99" s="9">
        <v>1447.3381710000001</v>
      </c>
      <c r="H99" s="9">
        <v>949.63800000000003</v>
      </c>
      <c r="I99" s="9">
        <v>1375.41</v>
      </c>
      <c r="J99" s="9">
        <v>67.968119999999999</v>
      </c>
    </row>
    <row r="100" spans="1:10" x14ac:dyDescent="0.45">
      <c r="A100" s="29" t="s">
        <v>48</v>
      </c>
      <c r="B100" s="60">
        <v>40969</v>
      </c>
      <c r="C100" s="29" t="s">
        <v>36</v>
      </c>
      <c r="D100" s="9">
        <v>2360456</v>
      </c>
      <c r="E100" s="9">
        <v>2056.558</v>
      </c>
      <c r="F100" s="9">
        <v>564.73312599999997</v>
      </c>
      <c r="G100" s="9">
        <v>1276.964035</v>
      </c>
      <c r="H100" s="9">
        <v>1504.4580000000001</v>
      </c>
      <c r="I100" s="9">
        <v>1591.519</v>
      </c>
      <c r="J100" s="9">
        <v>72.033243999999996</v>
      </c>
    </row>
    <row r="101" spans="1:10" x14ac:dyDescent="0.45">
      <c r="A101" s="29" t="s">
        <v>48</v>
      </c>
      <c r="B101" s="60">
        <v>41000</v>
      </c>
      <c r="C101" s="29" t="s">
        <v>46</v>
      </c>
      <c r="D101" s="9">
        <v>2823982</v>
      </c>
      <c r="E101" s="9">
        <v>2356.0810000000001</v>
      </c>
      <c r="F101" s="9">
        <v>489.80265200000002</v>
      </c>
      <c r="G101" s="9">
        <v>1220.779415</v>
      </c>
      <c r="H101" s="9">
        <v>1087.1469999999999</v>
      </c>
      <c r="I101" s="9">
        <v>1916.9259999999999</v>
      </c>
      <c r="J101" s="9">
        <v>116.557576</v>
      </c>
    </row>
    <row r="102" spans="1:10" x14ac:dyDescent="0.45">
      <c r="A102" s="29" t="s">
        <v>48</v>
      </c>
      <c r="B102" s="60">
        <v>41030</v>
      </c>
      <c r="C102" s="29" t="s">
        <v>17</v>
      </c>
      <c r="D102" s="9">
        <v>2842574</v>
      </c>
      <c r="E102" s="9">
        <v>2254.5639999999999</v>
      </c>
      <c r="F102" s="9">
        <v>599.68059800000003</v>
      </c>
      <c r="G102" s="9">
        <v>1062.6213499999999</v>
      </c>
      <c r="H102" s="9">
        <v>824.9</v>
      </c>
      <c r="I102" s="9">
        <v>1829.4349999999999</v>
      </c>
      <c r="J102" s="9">
        <v>204.04534200000001</v>
      </c>
    </row>
    <row r="103" spans="1:10" x14ac:dyDescent="0.45">
      <c r="A103" s="29" t="s">
        <v>48</v>
      </c>
      <c r="B103" s="60">
        <v>41061</v>
      </c>
      <c r="C103" s="29" t="s">
        <v>45</v>
      </c>
      <c r="D103" s="9">
        <v>2409590</v>
      </c>
      <c r="E103" s="9">
        <v>2324.297</v>
      </c>
      <c r="F103" s="9">
        <v>314.33884999999998</v>
      </c>
      <c r="G103" s="9">
        <v>986.76868999999999</v>
      </c>
      <c r="H103" s="9">
        <v>642.71500000000003</v>
      </c>
      <c r="I103" s="9">
        <v>1043.6610000000001</v>
      </c>
      <c r="J103" s="9">
        <v>425.23699199999999</v>
      </c>
    </row>
    <row r="104" spans="1:10" x14ac:dyDescent="0.45">
      <c r="A104" s="29" t="s">
        <v>47</v>
      </c>
      <c r="B104" s="60">
        <v>41091</v>
      </c>
      <c r="C104" s="29" t="s">
        <v>44</v>
      </c>
      <c r="D104" s="9">
        <v>1915318</v>
      </c>
      <c r="E104" s="9">
        <v>2257.2719999999999</v>
      </c>
      <c r="F104" s="9">
        <v>326.805361</v>
      </c>
      <c r="G104" s="9">
        <v>1327.41149</v>
      </c>
      <c r="H104" s="9">
        <v>554.95799999999997</v>
      </c>
      <c r="I104" s="9">
        <v>1034.855</v>
      </c>
      <c r="J104" s="9">
        <v>290.86063899999999</v>
      </c>
    </row>
    <row r="105" spans="1:10" x14ac:dyDescent="0.45">
      <c r="A105" s="29" t="s">
        <v>47</v>
      </c>
      <c r="B105" s="60">
        <v>41122</v>
      </c>
      <c r="C105" s="29" t="s">
        <v>43</v>
      </c>
      <c r="D105" s="9">
        <v>2656897</v>
      </c>
      <c r="E105" s="9">
        <v>2172.4670000000001</v>
      </c>
      <c r="F105" s="9">
        <v>864.42854399999999</v>
      </c>
      <c r="G105" s="9">
        <v>779.17014500000005</v>
      </c>
      <c r="H105" s="9">
        <v>1347.616</v>
      </c>
      <c r="I105" s="9">
        <v>1662.4749999999999</v>
      </c>
      <c r="J105" s="9">
        <v>479.00121300000001</v>
      </c>
    </row>
    <row r="106" spans="1:10" x14ac:dyDescent="0.45">
      <c r="A106" s="29" t="s">
        <v>47</v>
      </c>
      <c r="B106" s="60">
        <v>41153</v>
      </c>
      <c r="C106" s="29" t="s">
        <v>42</v>
      </c>
      <c r="D106" s="9">
        <v>2526664</v>
      </c>
      <c r="E106" s="9">
        <v>1701.136</v>
      </c>
      <c r="F106" s="9">
        <v>1243.85628</v>
      </c>
      <c r="G106" s="9">
        <v>573.71238000000005</v>
      </c>
      <c r="H106" s="9">
        <v>1690.3409999999999</v>
      </c>
      <c r="I106" s="9">
        <v>1445.817</v>
      </c>
      <c r="J106" s="9">
        <v>901.69474500000001</v>
      </c>
    </row>
    <row r="107" spans="1:10" x14ac:dyDescent="0.45">
      <c r="A107" s="29" t="s">
        <v>47</v>
      </c>
      <c r="B107" s="60">
        <v>41183</v>
      </c>
      <c r="C107" s="29" t="s">
        <v>41</v>
      </c>
      <c r="D107" s="9">
        <v>1432971</v>
      </c>
      <c r="E107" s="9">
        <v>1585.8340000000001</v>
      </c>
      <c r="F107" s="9">
        <v>1502.33286</v>
      </c>
      <c r="G107" s="9">
        <v>453.11223100000001</v>
      </c>
      <c r="H107" s="9">
        <v>2520.8589999999999</v>
      </c>
      <c r="I107" s="9">
        <v>1661.0250000000001</v>
      </c>
      <c r="J107" s="9">
        <v>657.53391799999997</v>
      </c>
    </row>
    <row r="108" spans="1:10" x14ac:dyDescent="0.45">
      <c r="A108" s="29" t="s">
        <v>47</v>
      </c>
      <c r="B108" s="60">
        <v>41214</v>
      </c>
      <c r="C108" s="29" t="s">
        <v>40</v>
      </c>
      <c r="D108" s="9">
        <v>1263335</v>
      </c>
      <c r="E108" s="9">
        <v>1119.4570000000001</v>
      </c>
      <c r="F108" s="9">
        <v>1414.2530549999999</v>
      </c>
      <c r="G108" s="9">
        <v>301.58201500000001</v>
      </c>
      <c r="H108" s="9">
        <v>2397.25</v>
      </c>
      <c r="I108" s="9">
        <v>1528.5809999999999</v>
      </c>
      <c r="J108" s="9">
        <v>621.62583400000005</v>
      </c>
    </row>
    <row r="109" spans="1:10" x14ac:dyDescent="0.45">
      <c r="A109" s="29" t="s">
        <v>47</v>
      </c>
      <c r="B109" s="60">
        <v>41244</v>
      </c>
      <c r="C109" s="29" t="s">
        <v>39</v>
      </c>
      <c r="D109" s="9">
        <v>1673167</v>
      </c>
      <c r="E109" s="9">
        <v>1193.047</v>
      </c>
      <c r="F109" s="9">
        <v>529.98731399999997</v>
      </c>
      <c r="G109" s="9">
        <v>722.92202999999995</v>
      </c>
      <c r="H109" s="9">
        <v>2295.6289999999999</v>
      </c>
      <c r="I109" s="9">
        <v>1644.44</v>
      </c>
      <c r="J109" s="9">
        <v>617.37468899999999</v>
      </c>
    </row>
    <row r="110" spans="1:10" x14ac:dyDescent="0.45">
      <c r="A110" s="29" t="s">
        <v>47</v>
      </c>
      <c r="B110" s="60">
        <v>41275</v>
      </c>
      <c r="C110" s="29" t="s">
        <v>38</v>
      </c>
      <c r="D110" s="9">
        <v>2095477</v>
      </c>
      <c r="E110" s="9">
        <v>1798.884</v>
      </c>
      <c r="F110" s="9">
        <v>122.287524</v>
      </c>
      <c r="G110" s="9">
        <v>722.81898000000001</v>
      </c>
      <c r="H110" s="9">
        <v>1974.623</v>
      </c>
      <c r="I110" s="9">
        <v>1706.481</v>
      </c>
      <c r="J110" s="9">
        <v>775.29526199999998</v>
      </c>
    </row>
    <row r="111" spans="1:10" x14ac:dyDescent="0.45">
      <c r="A111" s="29" t="s">
        <v>47</v>
      </c>
      <c r="B111" s="60">
        <v>41306</v>
      </c>
      <c r="C111" s="29" t="s">
        <v>37</v>
      </c>
      <c r="D111" s="9">
        <v>2499047</v>
      </c>
      <c r="E111" s="9">
        <v>1894.6980000000001</v>
      </c>
      <c r="F111" s="9">
        <v>188.54431400000001</v>
      </c>
      <c r="G111" s="9">
        <v>610.40747999999996</v>
      </c>
      <c r="H111" s="9">
        <v>2393.81</v>
      </c>
      <c r="I111" s="9">
        <v>1291.288</v>
      </c>
      <c r="J111" s="9">
        <v>639.37156300000004</v>
      </c>
    </row>
    <row r="112" spans="1:10" x14ac:dyDescent="0.45">
      <c r="A112" s="29" t="s">
        <v>47</v>
      </c>
      <c r="B112" s="60">
        <v>41334</v>
      </c>
      <c r="C112" s="29" t="s">
        <v>36</v>
      </c>
      <c r="D112" s="9">
        <v>2815144</v>
      </c>
      <c r="E112" s="9">
        <v>2033.329</v>
      </c>
      <c r="F112" s="9">
        <v>64.846615999999997</v>
      </c>
      <c r="G112" s="9">
        <v>410.83049099999999</v>
      </c>
      <c r="H112" s="9">
        <v>2562.201</v>
      </c>
      <c r="I112" s="9">
        <v>1601.9349999999999</v>
      </c>
      <c r="J112" s="9">
        <v>786.21414400000003</v>
      </c>
    </row>
    <row r="113" spans="1:10" x14ac:dyDescent="0.45">
      <c r="A113" s="29" t="s">
        <v>47</v>
      </c>
      <c r="B113" s="60">
        <v>41365</v>
      </c>
      <c r="C113" s="29" t="s">
        <v>46</v>
      </c>
      <c r="D113" s="9">
        <v>3027075</v>
      </c>
      <c r="E113" s="9">
        <v>1820.4880000000001</v>
      </c>
      <c r="F113" s="9">
        <v>279.90608900000001</v>
      </c>
      <c r="G113" s="9">
        <v>306.34327500000001</v>
      </c>
      <c r="H113" s="9">
        <v>2164.0140000000001</v>
      </c>
      <c r="I113" s="9">
        <v>1812.6669999999999</v>
      </c>
      <c r="J113" s="9">
        <v>838.93747699999994</v>
      </c>
    </row>
    <row r="114" spans="1:10" x14ac:dyDescent="0.45">
      <c r="A114" s="29" t="s">
        <v>47</v>
      </c>
      <c r="B114" s="60">
        <v>41395</v>
      </c>
      <c r="C114" s="29" t="s">
        <v>17</v>
      </c>
      <c r="D114" s="9">
        <v>2591146</v>
      </c>
      <c r="E114" s="9">
        <v>2134.8389999999999</v>
      </c>
      <c r="F114" s="9">
        <v>163.93786700000001</v>
      </c>
      <c r="G114" s="9">
        <v>247.24195</v>
      </c>
      <c r="H114" s="9">
        <v>1585.0940000000001</v>
      </c>
      <c r="I114" s="9">
        <v>1912.8989999999999</v>
      </c>
      <c r="J114" s="9">
        <v>850.66063699999995</v>
      </c>
    </row>
    <row r="115" spans="1:10" x14ac:dyDescent="0.45">
      <c r="A115" s="29" t="s">
        <v>47</v>
      </c>
      <c r="B115" s="60">
        <v>41426</v>
      </c>
      <c r="C115" s="29" t="s">
        <v>45</v>
      </c>
      <c r="D115" s="9">
        <v>2582789</v>
      </c>
      <c r="E115" s="9">
        <v>1495.835</v>
      </c>
      <c r="F115" s="9">
        <v>129.04637299999999</v>
      </c>
      <c r="G115" s="9">
        <v>83.277850000000001</v>
      </c>
      <c r="H115" s="9">
        <v>1235.8510000000001</v>
      </c>
      <c r="I115" s="9">
        <v>1035.5139999999999</v>
      </c>
      <c r="J115" s="9">
        <v>847.87886800000001</v>
      </c>
    </row>
    <row r="116" spans="1:10" x14ac:dyDescent="0.45">
      <c r="A116" s="29" t="s">
        <v>34</v>
      </c>
      <c r="B116" s="60">
        <v>41456</v>
      </c>
      <c r="C116" s="29" t="s">
        <v>44</v>
      </c>
      <c r="D116" s="9">
        <v>3126485</v>
      </c>
      <c r="E116" s="9">
        <v>1424.596</v>
      </c>
      <c r="F116" s="9">
        <v>260.26202899999998</v>
      </c>
      <c r="G116" s="9">
        <v>0</v>
      </c>
      <c r="H116" s="9">
        <v>1489.4749999999999</v>
      </c>
      <c r="I116" s="9">
        <v>1401.002</v>
      </c>
      <c r="J116" s="9">
        <v>470.89966500000003</v>
      </c>
    </row>
    <row r="117" spans="1:10" x14ac:dyDescent="0.45">
      <c r="A117" s="29" t="s">
        <v>34</v>
      </c>
      <c r="B117" s="60">
        <v>41487</v>
      </c>
      <c r="C117" s="29" t="s">
        <v>43</v>
      </c>
      <c r="D117" s="9">
        <v>3869792</v>
      </c>
      <c r="E117" s="9">
        <v>1097.9459999999999</v>
      </c>
      <c r="F117" s="9">
        <v>1297.3640740000001</v>
      </c>
      <c r="G117" s="9">
        <v>0.69982999999999995</v>
      </c>
      <c r="H117" s="9">
        <v>2864.5320000000002</v>
      </c>
      <c r="I117" s="9">
        <v>1649.175</v>
      </c>
      <c r="J117" s="9">
        <v>340.38576</v>
      </c>
    </row>
    <row r="118" spans="1:10" x14ac:dyDescent="0.45">
      <c r="A118" s="29" t="s">
        <v>34</v>
      </c>
      <c r="B118" s="60">
        <v>41518</v>
      </c>
      <c r="C118" s="29" t="s">
        <v>42</v>
      </c>
      <c r="D118" s="9">
        <v>4133106</v>
      </c>
      <c r="E118" s="9">
        <v>1002.745</v>
      </c>
      <c r="F118" s="9">
        <v>1930.563703</v>
      </c>
      <c r="G118" s="9">
        <v>0.19900000000000001</v>
      </c>
      <c r="H118" s="9">
        <v>2869.28</v>
      </c>
      <c r="I118" s="9">
        <v>1677.0509999999999</v>
      </c>
      <c r="J118" s="9">
        <v>202.01010500000001</v>
      </c>
    </row>
    <row r="119" spans="1:10" x14ac:dyDescent="0.45">
      <c r="A119" s="29" t="s">
        <v>34</v>
      </c>
      <c r="B119" s="60">
        <v>41548</v>
      </c>
      <c r="C119" s="29" t="s">
        <v>41</v>
      </c>
      <c r="D119" s="9">
        <v>2386132</v>
      </c>
      <c r="E119" s="9">
        <v>866.01599999999996</v>
      </c>
      <c r="F119" s="9">
        <v>1713.5302360000001</v>
      </c>
      <c r="G119" s="9">
        <v>0</v>
      </c>
      <c r="H119" s="9">
        <v>2806.2979999999998</v>
      </c>
      <c r="I119" s="9">
        <v>1864.5519999999999</v>
      </c>
      <c r="J119" s="9">
        <v>137.83262999999999</v>
      </c>
    </row>
    <row r="120" spans="1:10" x14ac:dyDescent="0.45">
      <c r="A120" s="29" t="s">
        <v>34</v>
      </c>
      <c r="B120" s="60">
        <v>41579</v>
      </c>
      <c r="C120" s="29" t="s">
        <v>40</v>
      </c>
      <c r="D120" s="9">
        <v>1744418</v>
      </c>
      <c r="E120" s="9">
        <v>565.37800000000004</v>
      </c>
      <c r="F120" s="9">
        <v>793.02634</v>
      </c>
      <c r="G120" s="9">
        <v>0</v>
      </c>
      <c r="H120" s="9">
        <v>2442.2629999999999</v>
      </c>
      <c r="I120" s="9">
        <v>1986.579</v>
      </c>
      <c r="J120" s="9">
        <v>111.122304</v>
      </c>
    </row>
    <row r="121" spans="1:10" x14ac:dyDescent="0.45">
      <c r="A121" s="29" t="s">
        <v>34</v>
      </c>
      <c r="B121" s="60">
        <v>41609</v>
      </c>
      <c r="C121" s="29" t="s">
        <v>39</v>
      </c>
      <c r="D121" s="9">
        <v>2006725</v>
      </c>
      <c r="E121" s="9">
        <v>1872.4580000000001</v>
      </c>
      <c r="F121" s="9">
        <v>792.26033199999995</v>
      </c>
      <c r="G121" s="9">
        <v>27.245059999999999</v>
      </c>
      <c r="H121" s="9">
        <v>3054.2719999999999</v>
      </c>
      <c r="I121" s="9">
        <v>1659.846</v>
      </c>
      <c r="J121" s="9">
        <v>398.72846600000003</v>
      </c>
    </row>
    <row r="122" spans="1:10" x14ac:dyDescent="0.45">
      <c r="A122" s="29" t="s">
        <v>34</v>
      </c>
      <c r="B122" s="60">
        <v>41640</v>
      </c>
      <c r="C122" s="29" t="s">
        <v>38</v>
      </c>
      <c r="D122" s="9">
        <v>2196953</v>
      </c>
      <c r="E122" s="9">
        <v>2030.9829999999999</v>
      </c>
      <c r="F122" s="9">
        <v>156.56712999999999</v>
      </c>
      <c r="G122" s="9">
        <v>188.09502699999999</v>
      </c>
      <c r="H122" s="9">
        <v>3199.3049999999998</v>
      </c>
      <c r="I122" s="9">
        <v>1759.2349999999999</v>
      </c>
      <c r="J122" s="9">
        <v>574.00429499999996</v>
      </c>
    </row>
    <row r="123" spans="1:10" x14ac:dyDescent="0.45">
      <c r="A123" s="29" t="s">
        <v>34</v>
      </c>
      <c r="B123" s="60">
        <v>41671</v>
      </c>
      <c r="C123" s="29" t="s">
        <v>37</v>
      </c>
      <c r="D123" s="9">
        <v>1865287</v>
      </c>
      <c r="E123" s="9">
        <v>1988.55</v>
      </c>
      <c r="F123" s="9">
        <v>251.49464499999999</v>
      </c>
      <c r="G123" s="9">
        <v>448.59676300000001</v>
      </c>
      <c r="H123" s="9">
        <v>3490.5430000000001</v>
      </c>
      <c r="I123" s="9">
        <v>1611.1179999999999</v>
      </c>
      <c r="J123" s="9">
        <v>409.04142999999999</v>
      </c>
    </row>
    <row r="124" spans="1:10" x14ac:dyDescent="0.45">
      <c r="A124" s="29" t="s">
        <v>34</v>
      </c>
      <c r="B124" s="60">
        <v>41699</v>
      </c>
      <c r="C124" s="29" t="s">
        <v>36</v>
      </c>
      <c r="D124" s="9">
        <v>2118898</v>
      </c>
      <c r="E124" s="9">
        <v>2420.5650000000001</v>
      </c>
      <c r="F124" s="9">
        <v>291.84381500000001</v>
      </c>
      <c r="G124" s="9">
        <v>314.180792</v>
      </c>
      <c r="H124" s="9">
        <v>2896.569</v>
      </c>
      <c r="I124" s="9">
        <v>1691.848</v>
      </c>
      <c r="J124" s="9">
        <v>310.19041499999997</v>
      </c>
    </row>
    <row r="125" spans="1:10" x14ac:dyDescent="0.45">
      <c r="A125" s="29" t="s">
        <v>34</v>
      </c>
      <c r="B125" s="60">
        <v>41730</v>
      </c>
      <c r="C125" s="29" t="s">
        <v>46</v>
      </c>
      <c r="D125" s="9">
        <v>2802076</v>
      </c>
      <c r="E125" s="9">
        <v>1635.0889999999999</v>
      </c>
      <c r="F125" s="9">
        <v>227.86555999999999</v>
      </c>
      <c r="G125" s="9">
        <v>592.52487199999996</v>
      </c>
      <c r="H125" s="9">
        <v>2716.91</v>
      </c>
      <c r="I125" s="9">
        <v>1844.2470000000001</v>
      </c>
      <c r="J125" s="9">
        <v>531.23667499999999</v>
      </c>
    </row>
    <row r="126" spans="1:10" x14ac:dyDescent="0.45">
      <c r="A126" s="29" t="s">
        <v>34</v>
      </c>
      <c r="B126" s="60">
        <v>41760</v>
      </c>
      <c r="C126" s="29" t="s">
        <v>17</v>
      </c>
      <c r="D126" s="9">
        <v>2608633</v>
      </c>
      <c r="E126" s="9">
        <v>2075.1799999999998</v>
      </c>
      <c r="F126" s="9">
        <v>107.92046000000001</v>
      </c>
      <c r="G126" s="9">
        <v>679.20216200000004</v>
      </c>
      <c r="H126" s="9">
        <v>1879.393</v>
      </c>
      <c r="I126" s="9">
        <v>2712.9650000000001</v>
      </c>
      <c r="J126" s="9">
        <v>851.54813999999999</v>
      </c>
    </row>
    <row r="127" spans="1:10" x14ac:dyDescent="0.45">
      <c r="A127" s="29" t="s">
        <v>34</v>
      </c>
      <c r="B127" s="60">
        <v>41791</v>
      </c>
      <c r="C127" s="29" t="s">
        <v>45</v>
      </c>
      <c r="D127" s="9">
        <v>2120351</v>
      </c>
      <c r="E127" s="9">
        <v>1324.779</v>
      </c>
      <c r="F127" s="9">
        <v>147.57038</v>
      </c>
      <c r="G127" s="9">
        <v>374.13977</v>
      </c>
      <c r="H127" s="9">
        <v>1842.77</v>
      </c>
      <c r="I127" s="9">
        <v>2010.163</v>
      </c>
      <c r="J127" s="9">
        <v>504.68421799999999</v>
      </c>
    </row>
    <row r="128" spans="1:10" x14ac:dyDescent="0.45">
      <c r="A128" s="29" t="s">
        <v>9</v>
      </c>
      <c r="B128" s="60">
        <v>41821</v>
      </c>
      <c r="C128" s="29" t="s">
        <v>44</v>
      </c>
      <c r="D128" s="9">
        <v>1994734</v>
      </c>
      <c r="E128" s="9">
        <v>1503.1210000000001</v>
      </c>
      <c r="F128" s="9">
        <v>147.40610000000001</v>
      </c>
      <c r="G128" s="9">
        <v>622.84785099999999</v>
      </c>
      <c r="H128" s="9">
        <v>1581.136</v>
      </c>
      <c r="I128" s="9">
        <v>2498.681</v>
      </c>
      <c r="J128" s="9">
        <v>316.36583300000001</v>
      </c>
    </row>
    <row r="129" spans="1:10" x14ac:dyDescent="0.45">
      <c r="A129" s="29" t="s">
        <v>9</v>
      </c>
      <c r="B129" s="60">
        <v>41852</v>
      </c>
      <c r="C129" s="29" t="s">
        <v>43</v>
      </c>
      <c r="D129" s="9">
        <v>2586580</v>
      </c>
      <c r="E129" s="9">
        <v>1226.0640000000001</v>
      </c>
      <c r="F129" s="9">
        <v>24.01239</v>
      </c>
      <c r="G129" s="9">
        <v>1703.599978</v>
      </c>
      <c r="H129" s="9">
        <v>2865.9630000000002</v>
      </c>
      <c r="I129" s="9">
        <v>2711.9969999999998</v>
      </c>
      <c r="J129" s="9">
        <v>168.91477800000001</v>
      </c>
    </row>
    <row r="130" spans="1:10" x14ac:dyDescent="0.45">
      <c r="A130" s="29" t="s">
        <v>9</v>
      </c>
      <c r="B130" s="60">
        <v>41883</v>
      </c>
      <c r="C130" s="29" t="s">
        <v>42</v>
      </c>
      <c r="D130" s="9">
        <v>2660389</v>
      </c>
      <c r="E130" s="9">
        <v>1071.788</v>
      </c>
      <c r="F130" s="9">
        <v>122.98027500000001</v>
      </c>
      <c r="G130" s="9">
        <v>2181.3972469999999</v>
      </c>
      <c r="H130" s="9">
        <v>2881.011</v>
      </c>
      <c r="I130" s="9">
        <v>1910.1120000000001</v>
      </c>
      <c r="J130" s="9">
        <v>98.444404000000006</v>
      </c>
    </row>
    <row r="131" spans="1:10" x14ac:dyDescent="0.45">
      <c r="A131" s="29" t="s">
        <v>9</v>
      </c>
      <c r="B131" s="60">
        <v>41913</v>
      </c>
      <c r="C131" s="29" t="s">
        <v>41</v>
      </c>
      <c r="D131" s="9">
        <v>1585423</v>
      </c>
      <c r="E131" s="9">
        <v>836.35599999999999</v>
      </c>
      <c r="F131" s="9">
        <v>38.569800000000001</v>
      </c>
      <c r="G131" s="9">
        <v>1655.3360379999999</v>
      </c>
      <c r="H131" s="9">
        <v>3475.152</v>
      </c>
      <c r="I131" s="9">
        <v>1982.396</v>
      </c>
      <c r="J131" s="9">
        <v>107.263627</v>
      </c>
    </row>
    <row r="132" spans="1:10" x14ac:dyDescent="0.45">
      <c r="A132" s="29" t="s">
        <v>9</v>
      </c>
      <c r="B132" s="60">
        <v>41944</v>
      </c>
      <c r="C132" s="29" t="s">
        <v>40</v>
      </c>
      <c r="D132" s="9">
        <v>1243446</v>
      </c>
      <c r="E132" s="9">
        <v>891.68899999999996</v>
      </c>
      <c r="F132" s="9">
        <v>38.483049999999999</v>
      </c>
      <c r="G132" s="9">
        <v>1017.396341</v>
      </c>
      <c r="H132" s="9">
        <v>2428.268</v>
      </c>
      <c r="I132" s="9">
        <v>1986.607</v>
      </c>
      <c r="J132" s="9">
        <v>62.079410000000003</v>
      </c>
    </row>
    <row r="133" spans="1:10" x14ac:dyDescent="0.45">
      <c r="A133" s="29" t="s">
        <v>9</v>
      </c>
      <c r="B133" s="60">
        <v>41974</v>
      </c>
      <c r="C133" s="29" t="s">
        <v>39</v>
      </c>
      <c r="D133" s="9">
        <v>1632019</v>
      </c>
      <c r="E133" s="9">
        <v>1244.521</v>
      </c>
      <c r="F133" s="9">
        <v>295.97111999999998</v>
      </c>
      <c r="G133" s="9">
        <v>765.87637600000005</v>
      </c>
      <c r="H133" s="9">
        <v>2395.1170000000002</v>
      </c>
      <c r="I133" s="9">
        <v>1469.9949999999999</v>
      </c>
      <c r="J133" s="9">
        <v>111.29202600000001</v>
      </c>
    </row>
    <row r="134" spans="1:10" x14ac:dyDescent="0.45">
      <c r="A134" s="29" t="s">
        <v>9</v>
      </c>
      <c r="B134" s="60">
        <v>42005</v>
      </c>
      <c r="C134" s="29" t="s">
        <v>38</v>
      </c>
      <c r="D134" s="9">
        <v>1400808</v>
      </c>
      <c r="E134" s="9">
        <v>1094.499</v>
      </c>
      <c r="F134" s="9">
        <v>502.78506499999997</v>
      </c>
      <c r="G134" s="9">
        <v>551.41869399999996</v>
      </c>
      <c r="H134" s="9">
        <v>2517.8090000000002</v>
      </c>
      <c r="I134" s="9">
        <v>1956.5519999999999</v>
      </c>
      <c r="J134" s="9">
        <v>99.426762999999994</v>
      </c>
    </row>
    <row r="135" spans="1:10" x14ac:dyDescent="0.45">
      <c r="A135" s="29" t="s">
        <v>9</v>
      </c>
      <c r="B135" s="60">
        <v>42036</v>
      </c>
      <c r="C135" s="29" t="s">
        <v>37</v>
      </c>
      <c r="D135" s="9">
        <v>1860428</v>
      </c>
      <c r="E135" s="9">
        <v>1902.318</v>
      </c>
      <c r="F135" s="9">
        <v>569.38151000000005</v>
      </c>
      <c r="G135" s="9">
        <v>650.21983999999998</v>
      </c>
      <c r="H135" s="9">
        <v>3655.9870000000001</v>
      </c>
      <c r="I135" s="9">
        <v>1559.444</v>
      </c>
      <c r="J135" s="9">
        <v>50.412084</v>
      </c>
    </row>
    <row r="136" spans="1:10" x14ac:dyDescent="0.45">
      <c r="A136" s="29" t="s">
        <v>9</v>
      </c>
      <c r="B136" s="60">
        <v>42064</v>
      </c>
      <c r="C136" s="29" t="s">
        <v>36</v>
      </c>
      <c r="D136" s="9">
        <v>2029277</v>
      </c>
      <c r="E136" s="9">
        <v>1678.702</v>
      </c>
      <c r="F136" s="9">
        <v>463.98432500000001</v>
      </c>
      <c r="G136" s="9">
        <v>494.46200599999997</v>
      </c>
      <c r="H136" s="9">
        <v>4104.3090000000002</v>
      </c>
      <c r="I136" s="9">
        <v>2145.4560000000001</v>
      </c>
      <c r="J136" s="9">
        <v>22.330735000000001</v>
      </c>
    </row>
    <row r="137" spans="1:10" x14ac:dyDescent="0.45">
      <c r="A137" s="29" t="s">
        <v>9</v>
      </c>
      <c r="B137" s="60">
        <v>42095</v>
      </c>
      <c r="C137" s="29" t="s">
        <v>46</v>
      </c>
      <c r="D137" s="9">
        <v>2015263</v>
      </c>
      <c r="E137" s="9">
        <v>1871.7370000000001</v>
      </c>
      <c r="F137" s="9">
        <v>484.84030999999999</v>
      </c>
      <c r="G137" s="9">
        <v>483.85564099999999</v>
      </c>
      <c r="H137" s="9">
        <v>3733.3850000000002</v>
      </c>
      <c r="I137" s="9">
        <v>1391.2850000000001</v>
      </c>
      <c r="J137" s="9">
        <v>96.930708999999993</v>
      </c>
    </row>
    <row r="138" spans="1:10" x14ac:dyDescent="0.45">
      <c r="A138" s="29" t="s">
        <v>9</v>
      </c>
      <c r="B138" s="60">
        <v>42125</v>
      </c>
      <c r="C138" s="29" t="s">
        <v>17</v>
      </c>
      <c r="D138" s="9">
        <v>1755348</v>
      </c>
      <c r="E138" s="9">
        <v>1909.146</v>
      </c>
      <c r="F138" s="9">
        <v>326.17374000000001</v>
      </c>
      <c r="G138" s="9">
        <v>396.48701399999999</v>
      </c>
      <c r="H138" s="9">
        <v>2179.5529999999999</v>
      </c>
      <c r="I138" s="9">
        <v>2502.386</v>
      </c>
      <c r="J138" s="9">
        <v>103.246075</v>
      </c>
    </row>
    <row r="139" spans="1:10" x14ac:dyDescent="0.45">
      <c r="A139" s="29" t="s">
        <v>9</v>
      </c>
      <c r="B139" s="60">
        <v>42156</v>
      </c>
      <c r="C139" s="29" t="s">
        <v>45</v>
      </c>
      <c r="D139" s="9">
        <v>1620100</v>
      </c>
      <c r="E139" s="9">
        <v>1296.655</v>
      </c>
      <c r="F139" s="9">
        <v>426.56977999999998</v>
      </c>
      <c r="G139" s="9">
        <v>359.79334699999998</v>
      </c>
      <c r="H139" s="9">
        <v>1969.8309999999999</v>
      </c>
      <c r="I139" s="9">
        <v>2272.7840000000001</v>
      </c>
      <c r="J139" s="9">
        <v>88.045145000000005</v>
      </c>
    </row>
    <row r="140" spans="1:10" x14ac:dyDescent="0.45">
      <c r="A140" s="29" t="s">
        <v>22</v>
      </c>
      <c r="B140" s="60">
        <v>42186</v>
      </c>
      <c r="C140" s="29" t="s">
        <v>44</v>
      </c>
      <c r="D140" s="9">
        <v>1638504</v>
      </c>
      <c r="E140" s="9">
        <v>1468.5540000000001</v>
      </c>
      <c r="F140" s="9">
        <v>279.50517500000001</v>
      </c>
      <c r="G140" s="9">
        <v>769.825378</v>
      </c>
      <c r="H140" s="9">
        <v>2027.8389999999999</v>
      </c>
      <c r="I140" s="9">
        <v>1792.6</v>
      </c>
      <c r="J140" s="9">
        <v>93.433349000000007</v>
      </c>
    </row>
    <row r="141" spans="1:10" x14ac:dyDescent="0.45">
      <c r="A141" s="29" t="s">
        <v>22</v>
      </c>
      <c r="B141" s="60">
        <v>42217</v>
      </c>
      <c r="C141" s="29" t="s">
        <v>43</v>
      </c>
      <c r="D141" s="9">
        <v>2160551</v>
      </c>
      <c r="E141" s="9">
        <v>1183.2639999999999</v>
      </c>
      <c r="F141" s="9">
        <v>375.76101599999998</v>
      </c>
      <c r="G141" s="9">
        <v>1892.397393</v>
      </c>
      <c r="H141" s="9">
        <v>1829.8309999999999</v>
      </c>
      <c r="I141" s="9">
        <v>2151.627</v>
      </c>
      <c r="J141" s="9">
        <v>72.050721999999993</v>
      </c>
    </row>
    <row r="142" spans="1:10" x14ac:dyDescent="0.45">
      <c r="A142" s="29" t="s">
        <v>22</v>
      </c>
      <c r="B142" s="60">
        <v>42248</v>
      </c>
      <c r="C142" s="29" t="s">
        <v>42</v>
      </c>
      <c r="D142" s="9">
        <v>2456487</v>
      </c>
      <c r="E142" s="9">
        <v>1163.566</v>
      </c>
      <c r="F142" s="9">
        <v>369.41748999999999</v>
      </c>
      <c r="G142" s="9">
        <v>2813.586585</v>
      </c>
      <c r="H142" s="9">
        <v>2115.6770000000001</v>
      </c>
      <c r="I142" s="9">
        <v>1664.075</v>
      </c>
      <c r="J142" s="9">
        <v>88.501740999999996</v>
      </c>
    </row>
    <row r="143" spans="1:10" x14ac:dyDescent="0.45">
      <c r="A143" s="29" t="s">
        <v>22</v>
      </c>
      <c r="B143" s="60">
        <v>42278</v>
      </c>
      <c r="C143" s="29" t="s">
        <v>41</v>
      </c>
      <c r="D143" s="9">
        <v>1220600</v>
      </c>
      <c r="E143" s="9">
        <v>1075.2840000000001</v>
      </c>
      <c r="F143" s="9">
        <v>293.30811999999997</v>
      </c>
      <c r="G143" s="9">
        <v>2065.9993530000002</v>
      </c>
      <c r="H143" s="9">
        <v>1915.393</v>
      </c>
      <c r="I143" s="9">
        <v>1716.04</v>
      </c>
      <c r="J143" s="9">
        <v>19.948919</v>
      </c>
    </row>
    <row r="144" spans="1:10" x14ac:dyDescent="0.45">
      <c r="A144" s="29" t="s">
        <v>22</v>
      </c>
      <c r="B144" s="60">
        <v>42309</v>
      </c>
      <c r="C144" s="29" t="s">
        <v>40</v>
      </c>
      <c r="D144" s="9">
        <v>1386767</v>
      </c>
      <c r="E144" s="9">
        <v>718.87699999999995</v>
      </c>
      <c r="F144" s="9">
        <v>171.78908000000001</v>
      </c>
      <c r="G144" s="9">
        <v>1377.836399</v>
      </c>
      <c r="H144" s="9">
        <v>2193.7570000000001</v>
      </c>
      <c r="I144" s="9">
        <v>2342.1799999999998</v>
      </c>
      <c r="J144" s="9">
        <v>18.530394000000001</v>
      </c>
    </row>
    <row r="145" spans="1:10" x14ac:dyDescent="0.45">
      <c r="A145" s="29" t="s">
        <v>22</v>
      </c>
      <c r="B145" s="60">
        <v>42339</v>
      </c>
      <c r="C145" s="29" t="s">
        <v>39</v>
      </c>
      <c r="D145" s="9">
        <v>1714148</v>
      </c>
      <c r="E145" s="9">
        <v>1673.5139999999999</v>
      </c>
      <c r="F145" s="9">
        <v>53.496220000000001</v>
      </c>
      <c r="G145" s="9">
        <v>1594.082723</v>
      </c>
      <c r="H145" s="9">
        <v>3538.9009999999998</v>
      </c>
      <c r="I145" s="9">
        <v>2060.915</v>
      </c>
      <c r="J145" s="9">
        <v>27.087105999999999</v>
      </c>
    </row>
    <row r="146" spans="1:10" x14ac:dyDescent="0.45">
      <c r="A146" s="29" t="s">
        <v>22</v>
      </c>
      <c r="B146" s="60">
        <v>42370</v>
      </c>
      <c r="C146" s="29" t="s">
        <v>38</v>
      </c>
      <c r="D146" s="9">
        <v>1411323</v>
      </c>
      <c r="E146" s="9">
        <v>1509.796</v>
      </c>
      <c r="F146" s="9">
        <v>940.56795999999997</v>
      </c>
      <c r="G146" s="9">
        <v>465.88551799999999</v>
      </c>
      <c r="H146" s="9">
        <v>2749.0540000000001</v>
      </c>
      <c r="I146" s="9">
        <v>1490.876</v>
      </c>
      <c r="J146" s="9">
        <v>19.780228000000001</v>
      </c>
    </row>
    <row r="147" spans="1:10" x14ac:dyDescent="0.45">
      <c r="A147" s="29" t="s">
        <v>22</v>
      </c>
      <c r="B147" s="60">
        <v>42401</v>
      </c>
      <c r="C147" s="29" t="s">
        <v>37</v>
      </c>
      <c r="D147" s="9">
        <v>1475052</v>
      </c>
      <c r="E147" s="9">
        <v>1399.721</v>
      </c>
      <c r="F147" s="9">
        <v>1162.922984</v>
      </c>
      <c r="G147" s="9">
        <v>854.50036599999999</v>
      </c>
      <c r="H147" s="9">
        <v>3011.3420000000001</v>
      </c>
      <c r="I147" s="9">
        <v>1678.2529999999999</v>
      </c>
      <c r="J147" s="9">
        <v>15.435758999999999</v>
      </c>
    </row>
    <row r="148" spans="1:10" x14ac:dyDescent="0.45">
      <c r="A148" s="29" t="s">
        <v>22</v>
      </c>
      <c r="B148" s="60">
        <v>42430</v>
      </c>
      <c r="C148" s="29" t="s">
        <v>36</v>
      </c>
      <c r="D148" s="9">
        <v>1901410</v>
      </c>
      <c r="E148" s="9">
        <v>1486.4069999999999</v>
      </c>
      <c r="F148" s="9">
        <v>1454.0275340000001</v>
      </c>
      <c r="G148" s="9">
        <v>1071.920192</v>
      </c>
      <c r="H148" s="9">
        <v>3620.8589999999999</v>
      </c>
      <c r="I148" s="9">
        <v>1564.86</v>
      </c>
      <c r="J148" s="9">
        <v>21.813386999999999</v>
      </c>
    </row>
    <row r="149" spans="1:10" x14ac:dyDescent="0.45">
      <c r="A149" s="29" t="s">
        <v>22</v>
      </c>
      <c r="B149" s="60">
        <v>42461</v>
      </c>
      <c r="C149" s="29" t="s">
        <v>46</v>
      </c>
      <c r="D149" s="9">
        <v>1778448</v>
      </c>
      <c r="E149" s="9">
        <v>1504.5740000000001</v>
      </c>
      <c r="F149" s="9">
        <v>1283.0401300000001</v>
      </c>
      <c r="G149" s="9">
        <v>1317.2800139999999</v>
      </c>
      <c r="H149" s="9">
        <v>3553.424</v>
      </c>
      <c r="I149" s="9">
        <v>2174.4430000000002</v>
      </c>
      <c r="J149" s="9">
        <v>52.710436000000001</v>
      </c>
    </row>
    <row r="150" spans="1:10" x14ac:dyDescent="0.45">
      <c r="A150" s="29" t="s">
        <v>22</v>
      </c>
      <c r="B150" s="60">
        <v>42491</v>
      </c>
      <c r="C150" s="29" t="s">
        <v>17</v>
      </c>
      <c r="D150" s="9">
        <v>1728718</v>
      </c>
      <c r="E150" s="9">
        <v>1489.837</v>
      </c>
      <c r="F150" s="9">
        <v>907.09361999999999</v>
      </c>
      <c r="G150" s="9">
        <v>1406.386448</v>
      </c>
      <c r="H150" s="9">
        <v>3481.1390000000001</v>
      </c>
      <c r="I150" s="9">
        <v>1551.345</v>
      </c>
      <c r="J150" s="9">
        <v>56.405200999999998</v>
      </c>
    </row>
    <row r="151" spans="1:10" x14ac:dyDescent="0.45">
      <c r="A151" s="29" t="s">
        <v>22</v>
      </c>
      <c r="B151" s="60">
        <v>42522</v>
      </c>
      <c r="C151" s="29" t="s">
        <v>45</v>
      </c>
      <c r="D151" s="9">
        <v>2255357</v>
      </c>
      <c r="E151" s="9">
        <v>1068.883</v>
      </c>
      <c r="F151" s="9">
        <v>669.13553000000002</v>
      </c>
      <c r="G151" s="9">
        <v>1296.923976</v>
      </c>
      <c r="H151" s="9">
        <v>2911.2640000000001</v>
      </c>
      <c r="I151" s="9">
        <v>1486.2170000000001</v>
      </c>
      <c r="J151" s="9">
        <v>40.295200000000001</v>
      </c>
    </row>
    <row r="152" spans="1:10" x14ac:dyDescent="0.45">
      <c r="A152" s="29" t="s">
        <v>23</v>
      </c>
      <c r="B152" s="60">
        <v>42552</v>
      </c>
      <c r="C152" s="29" t="s">
        <v>44</v>
      </c>
      <c r="D152" s="9">
        <v>2044225</v>
      </c>
      <c r="E152" s="9">
        <v>1440.1189999999999</v>
      </c>
      <c r="F152" s="9">
        <v>529.32949499999995</v>
      </c>
      <c r="G152" s="9">
        <v>726.59695399999998</v>
      </c>
      <c r="H152" s="9">
        <v>2754.99</v>
      </c>
      <c r="I152" s="9">
        <v>1787.5239999999999</v>
      </c>
      <c r="J152" s="9">
        <v>22.252497999999999</v>
      </c>
    </row>
    <row r="153" spans="1:10" x14ac:dyDescent="0.45">
      <c r="A153" s="29" t="s">
        <v>23</v>
      </c>
      <c r="B153" s="60">
        <v>42583</v>
      </c>
      <c r="C153" s="29" t="s">
        <v>43</v>
      </c>
      <c r="D153" s="9">
        <v>2805240</v>
      </c>
      <c r="E153" s="9">
        <v>1433.586</v>
      </c>
      <c r="F153" s="9">
        <v>459.66716000000002</v>
      </c>
      <c r="G153" s="9">
        <v>3045.9776510000002</v>
      </c>
      <c r="H153" s="9">
        <v>2581.5120000000002</v>
      </c>
      <c r="I153" s="9">
        <v>1576.742</v>
      </c>
      <c r="J153" s="9">
        <v>31.462509000000001</v>
      </c>
    </row>
    <row r="154" spans="1:10" x14ac:dyDescent="0.45">
      <c r="A154" s="29" t="s">
        <v>23</v>
      </c>
      <c r="B154" s="60">
        <v>42614</v>
      </c>
      <c r="C154" s="29" t="s">
        <v>42</v>
      </c>
      <c r="D154" s="9">
        <v>2816296</v>
      </c>
      <c r="E154" s="9">
        <v>1282.133</v>
      </c>
      <c r="F154" s="9">
        <v>263.11822000000001</v>
      </c>
      <c r="G154" s="9">
        <v>2863.5670879999998</v>
      </c>
      <c r="H154" s="9">
        <v>2285.1010000000001</v>
      </c>
      <c r="I154" s="9">
        <v>1337.934</v>
      </c>
      <c r="J154" s="9">
        <v>4.8830299999999998</v>
      </c>
    </row>
    <row r="155" spans="1:10" x14ac:dyDescent="0.45">
      <c r="A155" s="29" t="s">
        <v>23</v>
      </c>
      <c r="B155" s="60">
        <v>42644</v>
      </c>
      <c r="C155" s="29" t="s">
        <v>41</v>
      </c>
      <c r="D155" s="9">
        <v>1719100</v>
      </c>
      <c r="E155" s="9">
        <v>968.69399999999996</v>
      </c>
      <c r="F155" s="9">
        <v>416.95828</v>
      </c>
      <c r="G155" s="9">
        <v>2057.904884</v>
      </c>
      <c r="H155" s="9">
        <v>1726.175</v>
      </c>
      <c r="I155" s="9">
        <v>1861.7729999999999</v>
      </c>
      <c r="J155" s="9">
        <v>3.8121450000000001</v>
      </c>
    </row>
    <row r="156" spans="1:10" x14ac:dyDescent="0.45">
      <c r="A156" s="29" t="s">
        <v>23</v>
      </c>
      <c r="B156" s="60">
        <v>42675</v>
      </c>
      <c r="C156" s="29" t="s">
        <v>40</v>
      </c>
      <c r="D156" s="9">
        <v>1775802</v>
      </c>
      <c r="E156" s="9">
        <v>891.57899999999995</v>
      </c>
      <c r="F156" s="9">
        <v>573.04407200000003</v>
      </c>
      <c r="G156" s="9">
        <v>1402.0785069999999</v>
      </c>
      <c r="H156" s="9">
        <v>2011.521</v>
      </c>
      <c r="I156" s="9">
        <v>1618.46</v>
      </c>
      <c r="J156" s="9">
        <v>6.61958</v>
      </c>
    </row>
    <row r="157" spans="1:10" x14ac:dyDescent="0.45">
      <c r="A157" s="29" t="s">
        <v>23</v>
      </c>
      <c r="B157" s="60">
        <v>42705</v>
      </c>
      <c r="C157" s="29" t="s">
        <v>39</v>
      </c>
      <c r="D157" s="9">
        <v>2174476</v>
      </c>
      <c r="E157" s="9">
        <v>1634.8589999999999</v>
      </c>
      <c r="F157" s="9">
        <v>1606.994344</v>
      </c>
      <c r="G157" s="9">
        <v>1409.3035259999999</v>
      </c>
      <c r="H157" s="9">
        <v>2460.7159999999999</v>
      </c>
      <c r="I157" s="9">
        <v>1512.8440000000001</v>
      </c>
      <c r="J157" s="9">
        <v>8.6088570000000004</v>
      </c>
    </row>
    <row r="158" spans="1:10" x14ac:dyDescent="0.45">
      <c r="A158" s="29" t="s">
        <v>23</v>
      </c>
      <c r="B158" s="60">
        <v>42736</v>
      </c>
      <c r="C158" s="29" t="s">
        <v>38</v>
      </c>
      <c r="D158" s="9">
        <v>1640844</v>
      </c>
      <c r="E158" s="9">
        <v>2544.3319999999999</v>
      </c>
      <c r="F158" s="9">
        <v>2349.4069060000002</v>
      </c>
      <c r="G158" s="9">
        <v>1212.5626299999999</v>
      </c>
      <c r="H158" s="9">
        <v>2121.5509999999999</v>
      </c>
      <c r="I158" s="9">
        <v>1388.69</v>
      </c>
      <c r="J158" s="9">
        <v>12.153204000000001</v>
      </c>
    </row>
    <row r="159" spans="1:10" x14ac:dyDescent="0.45">
      <c r="A159" s="29" t="s">
        <v>23</v>
      </c>
      <c r="B159" s="60">
        <v>42767</v>
      </c>
      <c r="C159" s="29" t="s">
        <v>37</v>
      </c>
      <c r="D159" s="9">
        <v>2238700</v>
      </c>
      <c r="E159" s="9">
        <v>2354.3739999999998</v>
      </c>
      <c r="F159" s="9">
        <v>1991.180775</v>
      </c>
      <c r="G159" s="9">
        <v>839.97423900000001</v>
      </c>
      <c r="H159" s="9">
        <v>1751.597</v>
      </c>
      <c r="I159" s="9">
        <v>1393.0340000000001</v>
      </c>
      <c r="J159" s="9">
        <v>15.883395</v>
      </c>
    </row>
    <row r="160" spans="1:10" x14ac:dyDescent="0.45">
      <c r="A160" s="29" t="s">
        <v>23</v>
      </c>
      <c r="B160" s="60">
        <v>42795</v>
      </c>
      <c r="C160" s="29" t="s">
        <v>36</v>
      </c>
      <c r="D160" s="9">
        <v>2664738</v>
      </c>
      <c r="E160" s="9">
        <v>2424.114</v>
      </c>
      <c r="F160" s="9">
        <v>1248.2495799999999</v>
      </c>
      <c r="G160" s="9">
        <v>1052.2953689999999</v>
      </c>
      <c r="H160" s="9">
        <v>2602.866</v>
      </c>
      <c r="I160" s="9">
        <v>1540.1089999999999</v>
      </c>
      <c r="J160" s="9">
        <v>10.419575999999999</v>
      </c>
    </row>
    <row r="161" spans="1:10" x14ac:dyDescent="0.45">
      <c r="A161" s="29" t="s">
        <v>23</v>
      </c>
      <c r="B161" s="60">
        <v>42826</v>
      </c>
      <c r="C161" s="29" t="s">
        <v>46</v>
      </c>
      <c r="D161" s="9">
        <v>2677636</v>
      </c>
      <c r="E161" s="9">
        <v>2202.9360000000001</v>
      </c>
      <c r="F161" s="9">
        <v>761.44653500000004</v>
      </c>
      <c r="G161" s="9">
        <v>1198.352341</v>
      </c>
      <c r="H161" s="9">
        <v>2308.6840000000002</v>
      </c>
      <c r="I161" s="9">
        <v>1792.2149999999999</v>
      </c>
      <c r="J161" s="9">
        <v>39.403427999999998</v>
      </c>
    </row>
    <row r="162" spans="1:10" x14ac:dyDescent="0.45">
      <c r="A162" s="29" t="s">
        <v>23</v>
      </c>
      <c r="B162" s="60">
        <v>42856</v>
      </c>
      <c r="C162" s="29" t="s">
        <v>17</v>
      </c>
      <c r="D162" s="9">
        <v>3055806</v>
      </c>
      <c r="E162" s="9">
        <v>2575.6640000000002</v>
      </c>
      <c r="F162" s="9">
        <v>501.01107500000001</v>
      </c>
      <c r="G162" s="9">
        <v>984.99572799999999</v>
      </c>
      <c r="H162" s="9">
        <v>1748.106</v>
      </c>
      <c r="I162" s="9">
        <v>2180.665</v>
      </c>
      <c r="J162" s="9">
        <v>39.253030000000003</v>
      </c>
    </row>
    <row r="163" spans="1:10" x14ac:dyDescent="0.45">
      <c r="A163" s="29" t="s">
        <v>23</v>
      </c>
      <c r="B163" s="60">
        <v>42887</v>
      </c>
      <c r="C163" s="29" t="s">
        <v>45</v>
      </c>
      <c r="D163" s="9">
        <v>2981580</v>
      </c>
      <c r="E163" s="9">
        <v>2272.1680000000001</v>
      </c>
      <c r="F163" s="9">
        <v>599.84281499999997</v>
      </c>
      <c r="G163" s="9">
        <v>734.36431300000004</v>
      </c>
      <c r="H163" s="9">
        <v>1312.4159999999999</v>
      </c>
      <c r="I163" s="9">
        <v>1892.7429999999999</v>
      </c>
      <c r="J163" s="9">
        <v>9.6920459999999995</v>
      </c>
    </row>
    <row r="164" spans="1:10" x14ac:dyDescent="0.45">
      <c r="A164" s="29" t="s">
        <v>24</v>
      </c>
      <c r="B164" s="60">
        <v>42917</v>
      </c>
      <c r="C164" s="29" t="s">
        <v>44</v>
      </c>
      <c r="D164" s="9">
        <v>2375010</v>
      </c>
      <c r="E164" s="9">
        <v>1843.627</v>
      </c>
      <c r="F164" s="9">
        <v>689.70649500000002</v>
      </c>
      <c r="G164" s="9">
        <v>810.06392800000003</v>
      </c>
      <c r="H164" s="9">
        <v>1609.444</v>
      </c>
      <c r="I164" s="9">
        <v>1694.087</v>
      </c>
      <c r="J164" s="9">
        <v>19.267755000000001</v>
      </c>
    </row>
    <row r="165" spans="1:10" x14ac:dyDescent="0.45">
      <c r="A165" s="29" t="s">
        <v>24</v>
      </c>
      <c r="B165" s="60">
        <v>42948</v>
      </c>
      <c r="C165" s="29" t="s">
        <v>43</v>
      </c>
      <c r="D165" s="9">
        <v>2425844</v>
      </c>
      <c r="E165" s="9">
        <v>1571.011</v>
      </c>
      <c r="F165" s="9">
        <v>749.53636500000005</v>
      </c>
      <c r="G165" s="9">
        <v>2478.2240689999999</v>
      </c>
      <c r="H165" s="9">
        <v>2447.8710000000001</v>
      </c>
      <c r="I165" s="9">
        <v>2058.8380000000002</v>
      </c>
      <c r="J165" s="9">
        <v>24.472069999999999</v>
      </c>
    </row>
    <row r="166" spans="1:10" x14ac:dyDescent="0.45">
      <c r="A166" s="29" t="s">
        <v>24</v>
      </c>
      <c r="B166" s="60">
        <v>42979</v>
      </c>
      <c r="C166" s="29" t="s">
        <v>42</v>
      </c>
      <c r="D166" s="9">
        <v>2348092</v>
      </c>
      <c r="E166" s="9">
        <v>1318.89</v>
      </c>
      <c r="F166" s="9">
        <v>620.82923500000004</v>
      </c>
      <c r="G166" s="9">
        <v>2642.2346149999998</v>
      </c>
      <c r="H166" s="9">
        <v>2065.547</v>
      </c>
      <c r="I166" s="9">
        <v>1543.597</v>
      </c>
      <c r="J166" s="9">
        <v>20.194496000000001</v>
      </c>
    </row>
    <row r="167" spans="1:10" x14ac:dyDescent="0.45">
      <c r="A167" s="29" t="s">
        <v>24</v>
      </c>
      <c r="B167" s="60">
        <v>43009</v>
      </c>
      <c r="C167" s="29" t="s">
        <v>41</v>
      </c>
      <c r="D167" s="9">
        <v>1309448</v>
      </c>
      <c r="E167" s="9">
        <v>854.59299999999996</v>
      </c>
      <c r="F167" s="9">
        <v>767.86617000000001</v>
      </c>
      <c r="G167" s="9">
        <v>2261.7771670000002</v>
      </c>
      <c r="H167" s="9">
        <v>1247.2929999999999</v>
      </c>
      <c r="I167" s="9">
        <v>1745.1690000000001</v>
      </c>
      <c r="J167" s="9">
        <v>29.00235</v>
      </c>
    </row>
    <row r="168" spans="1:10" x14ac:dyDescent="0.45">
      <c r="A168" s="29" t="s">
        <v>24</v>
      </c>
      <c r="B168" s="60">
        <v>43040</v>
      </c>
      <c r="C168" s="29" t="s">
        <v>40</v>
      </c>
      <c r="D168" s="9">
        <v>1473170</v>
      </c>
      <c r="E168" s="9">
        <v>611.21100000000001</v>
      </c>
      <c r="F168" s="9">
        <v>929.47409000000005</v>
      </c>
      <c r="G168" s="9">
        <v>1832.024713</v>
      </c>
      <c r="H168" s="9">
        <v>2258.145</v>
      </c>
      <c r="I168" s="9">
        <v>1839.095</v>
      </c>
      <c r="J168" s="9">
        <v>42.568435000000001</v>
      </c>
    </row>
    <row r="169" spans="1:10" x14ac:dyDescent="0.45">
      <c r="A169" s="29" t="s">
        <v>24</v>
      </c>
      <c r="B169" s="60">
        <v>43070</v>
      </c>
      <c r="C169" s="29" t="s">
        <v>39</v>
      </c>
      <c r="D169" s="9">
        <v>1979767</v>
      </c>
      <c r="E169" s="9">
        <v>1403.8889999999999</v>
      </c>
      <c r="F169" s="9">
        <v>1890.398209</v>
      </c>
      <c r="G169" s="9">
        <v>1264.3922809999999</v>
      </c>
      <c r="H169" s="9">
        <v>2066.4209999999998</v>
      </c>
      <c r="I169" s="9">
        <v>1523.377</v>
      </c>
      <c r="J169" s="9">
        <v>25.567005000000002</v>
      </c>
    </row>
    <row r="170" spans="1:10" x14ac:dyDescent="0.45">
      <c r="A170" s="29" t="s">
        <v>24</v>
      </c>
      <c r="B170" s="60">
        <v>43101</v>
      </c>
      <c r="C170" s="29" t="s">
        <v>38</v>
      </c>
      <c r="D170" s="9">
        <v>1766454</v>
      </c>
      <c r="E170" s="9">
        <v>1165.319</v>
      </c>
      <c r="F170" s="9">
        <v>2391.316354</v>
      </c>
      <c r="G170" s="9">
        <v>872.51106900000002</v>
      </c>
      <c r="H170" s="9">
        <v>1847.9490000000001</v>
      </c>
      <c r="I170" s="9">
        <v>2212.902</v>
      </c>
      <c r="J170" s="9">
        <v>11.818880999999999</v>
      </c>
    </row>
    <row r="171" spans="1:10" x14ac:dyDescent="0.45">
      <c r="A171" s="29" t="s">
        <v>24</v>
      </c>
      <c r="B171" s="60">
        <v>43132</v>
      </c>
      <c r="C171" s="29" t="s">
        <v>37</v>
      </c>
      <c r="D171" s="9">
        <v>1578343</v>
      </c>
      <c r="E171" s="9">
        <v>955.66200000000003</v>
      </c>
      <c r="F171" s="9">
        <v>1746.275975</v>
      </c>
      <c r="G171" s="9">
        <v>1040.234508</v>
      </c>
      <c r="H171" s="9">
        <v>1237.191</v>
      </c>
      <c r="I171" s="9">
        <v>1258.105</v>
      </c>
      <c r="J171" s="9">
        <v>31.714372999999998</v>
      </c>
    </row>
    <row r="172" spans="1:10" x14ac:dyDescent="0.45">
      <c r="A172" s="29" t="s">
        <v>24</v>
      </c>
      <c r="B172" s="60">
        <v>43160</v>
      </c>
      <c r="C172" s="29" t="s">
        <v>36</v>
      </c>
      <c r="D172" s="9">
        <v>2077069</v>
      </c>
      <c r="E172" s="9">
        <v>1521.5650000000001</v>
      </c>
      <c r="F172" s="9">
        <v>1631.86664</v>
      </c>
      <c r="G172" s="9">
        <v>1011.641572</v>
      </c>
      <c r="H172" s="9">
        <v>1454.85</v>
      </c>
      <c r="I172" s="9">
        <v>1995.6220000000001</v>
      </c>
      <c r="J172" s="9">
        <v>29.501370999999999</v>
      </c>
    </row>
    <row r="173" spans="1:10" x14ac:dyDescent="0.45">
      <c r="A173" s="29" t="s">
        <v>24</v>
      </c>
      <c r="B173" s="60">
        <v>43191</v>
      </c>
      <c r="C173" s="29" t="s">
        <v>46</v>
      </c>
      <c r="D173" s="9">
        <v>1957864</v>
      </c>
      <c r="E173" s="9">
        <v>1403.36</v>
      </c>
      <c r="F173" s="9">
        <v>622.88483599999995</v>
      </c>
      <c r="G173" s="9">
        <v>1123.1866210000001</v>
      </c>
      <c r="H173" s="9">
        <v>2570.6469999999999</v>
      </c>
      <c r="I173" s="9">
        <v>1889.769</v>
      </c>
      <c r="J173" s="9">
        <v>11.898415</v>
      </c>
    </row>
    <row r="174" spans="1:10" x14ac:dyDescent="0.45">
      <c r="A174" s="29" t="s">
        <v>24</v>
      </c>
      <c r="B174" s="60">
        <v>43221</v>
      </c>
      <c r="C174" s="29" t="s">
        <v>17</v>
      </c>
      <c r="D174" s="9">
        <v>1798257</v>
      </c>
      <c r="E174" s="9">
        <v>1441.952</v>
      </c>
      <c r="F174" s="9">
        <v>607.96240999999998</v>
      </c>
      <c r="G174" s="9">
        <v>1009.511436</v>
      </c>
      <c r="H174" s="9">
        <v>1956.2260000000001</v>
      </c>
      <c r="I174" s="9">
        <v>2290.7930000000001</v>
      </c>
      <c r="J174" s="9">
        <v>10.40714</v>
      </c>
    </row>
    <row r="175" spans="1:10" x14ac:dyDescent="0.45">
      <c r="A175" s="29" t="s">
        <v>24</v>
      </c>
      <c r="B175" s="60">
        <v>43252</v>
      </c>
      <c r="C175" s="29" t="s">
        <v>45</v>
      </c>
      <c r="D175" s="9">
        <v>1559952</v>
      </c>
      <c r="E175" s="9">
        <v>1348.375</v>
      </c>
      <c r="F175" s="9">
        <v>392.21839999999997</v>
      </c>
      <c r="G175" s="9">
        <v>806.62124600000004</v>
      </c>
      <c r="H175" s="9">
        <v>1571.8150000000001</v>
      </c>
      <c r="I175" s="9">
        <v>1469.4549999999999</v>
      </c>
      <c r="J175" s="9">
        <v>11.843866999999999</v>
      </c>
    </row>
    <row r="176" spans="1:10" x14ac:dyDescent="0.45">
      <c r="A176" s="29" t="s">
        <v>25</v>
      </c>
      <c r="B176" s="60">
        <v>43282</v>
      </c>
      <c r="C176" s="29" t="s">
        <v>44</v>
      </c>
      <c r="D176" s="9">
        <v>1775851</v>
      </c>
      <c r="E176" s="9">
        <v>1353.461</v>
      </c>
      <c r="F176" s="9">
        <v>485.88135</v>
      </c>
      <c r="G176" s="9">
        <v>940.18248400000004</v>
      </c>
      <c r="H176" s="9">
        <v>1981.867</v>
      </c>
      <c r="I176" s="9">
        <v>1674.7529999999999</v>
      </c>
      <c r="J176" s="9">
        <v>16.918824000000001</v>
      </c>
    </row>
    <row r="177" spans="1:10" x14ac:dyDescent="0.45">
      <c r="A177" s="29" t="s">
        <v>25</v>
      </c>
      <c r="B177" s="60">
        <v>43313</v>
      </c>
      <c r="C177" s="29" t="s">
        <v>43</v>
      </c>
      <c r="D177" s="9">
        <v>2089251</v>
      </c>
      <c r="E177" s="9">
        <v>847.76099999999997</v>
      </c>
      <c r="F177" s="9">
        <v>534.50174000000004</v>
      </c>
      <c r="G177" s="9">
        <v>2171.342435</v>
      </c>
      <c r="H177" s="9">
        <v>2057.2199999999998</v>
      </c>
      <c r="I177" s="9">
        <v>1892.556</v>
      </c>
      <c r="J177" s="9">
        <v>11.287583</v>
      </c>
    </row>
    <row r="178" spans="1:10" x14ac:dyDescent="0.45">
      <c r="A178" s="29" t="s">
        <v>25</v>
      </c>
      <c r="B178" s="60">
        <v>43344</v>
      </c>
      <c r="C178" s="29" t="s">
        <v>42</v>
      </c>
      <c r="D178" s="9">
        <v>1789365</v>
      </c>
      <c r="E178" s="9">
        <v>863.45</v>
      </c>
      <c r="F178" s="9">
        <v>471.90320000000003</v>
      </c>
      <c r="G178" s="9">
        <v>2258.5481639999998</v>
      </c>
      <c r="H178" s="9">
        <v>1547.0640000000001</v>
      </c>
      <c r="I178" s="9">
        <v>1971.316</v>
      </c>
      <c r="J178" s="9">
        <v>19.209824000000001</v>
      </c>
    </row>
    <row r="179" spans="1:10" x14ac:dyDescent="0.45">
      <c r="A179" s="29" t="s">
        <v>25</v>
      </c>
      <c r="B179" s="60">
        <v>43374</v>
      </c>
      <c r="C179" s="29" t="s">
        <v>41</v>
      </c>
      <c r="D179" s="9">
        <v>1930042</v>
      </c>
      <c r="E179" s="9">
        <v>406.15100000000001</v>
      </c>
      <c r="F179" s="9">
        <v>372.04706499999998</v>
      </c>
      <c r="G179" s="9">
        <v>2186.6433550000002</v>
      </c>
      <c r="H179" s="9">
        <v>1427.309</v>
      </c>
      <c r="I179" s="9">
        <v>2073.1219999999998</v>
      </c>
      <c r="J179" s="9">
        <v>36.517097999999997</v>
      </c>
    </row>
    <row r="180" spans="1:10" x14ac:dyDescent="0.45">
      <c r="A180" s="29" t="s">
        <v>25</v>
      </c>
      <c r="B180" s="60">
        <v>43405</v>
      </c>
      <c r="C180" s="29" t="s">
        <v>40</v>
      </c>
      <c r="D180" s="9">
        <v>1632009</v>
      </c>
      <c r="E180" s="9">
        <v>308.50799999999998</v>
      </c>
      <c r="F180" s="9">
        <v>707.21092399999998</v>
      </c>
      <c r="G180" s="9">
        <v>1852.6503319999999</v>
      </c>
      <c r="H180" s="9">
        <v>1293.175</v>
      </c>
      <c r="I180" s="9">
        <v>1976.442</v>
      </c>
      <c r="J180" s="9">
        <v>11.845245</v>
      </c>
    </row>
    <row r="181" spans="1:10" x14ac:dyDescent="0.45">
      <c r="A181" s="29" t="s">
        <v>25</v>
      </c>
      <c r="B181" s="60">
        <v>43435</v>
      </c>
      <c r="C181" s="29" t="s">
        <v>39</v>
      </c>
      <c r="D181" s="9">
        <v>2286571</v>
      </c>
      <c r="E181" s="9">
        <v>719.43799999999999</v>
      </c>
      <c r="F181" s="9">
        <v>2104.786118</v>
      </c>
      <c r="G181" s="9">
        <v>1098.5630630000001</v>
      </c>
      <c r="H181" s="9">
        <v>1532.92</v>
      </c>
      <c r="I181" s="9">
        <v>2126.6959999999999</v>
      </c>
      <c r="J181" s="9">
        <v>18.650397999999999</v>
      </c>
    </row>
    <row r="182" spans="1:10" x14ac:dyDescent="0.45">
      <c r="A182" s="29" t="s">
        <v>25</v>
      </c>
      <c r="B182" s="60">
        <v>43466</v>
      </c>
      <c r="C182" s="29" t="s">
        <v>38</v>
      </c>
      <c r="D182" s="9">
        <v>1966178</v>
      </c>
      <c r="E182" s="9">
        <v>857.68600000000004</v>
      </c>
      <c r="F182" s="9">
        <v>2700.4772889999999</v>
      </c>
      <c r="G182" s="9">
        <v>1011.649279</v>
      </c>
      <c r="H182" s="9">
        <v>1436.3320000000001</v>
      </c>
      <c r="I182" s="9">
        <v>1834.365</v>
      </c>
      <c r="J182" s="9">
        <v>40.963085</v>
      </c>
    </row>
    <row r="183" spans="1:10" x14ac:dyDescent="0.45">
      <c r="A183" s="29" t="s">
        <v>25</v>
      </c>
      <c r="B183" s="60">
        <v>43497</v>
      </c>
      <c r="C183" s="29" t="s">
        <v>37</v>
      </c>
      <c r="D183" s="9">
        <v>2242392</v>
      </c>
      <c r="E183" s="9">
        <v>833.74300000000005</v>
      </c>
      <c r="F183" s="9">
        <v>1520.332015</v>
      </c>
      <c r="G183" s="9">
        <v>971.8338</v>
      </c>
      <c r="H183" s="9">
        <v>2410.25</v>
      </c>
      <c r="I183" s="9">
        <v>1475.2090000000001</v>
      </c>
      <c r="J183" s="9">
        <v>11.662580999999999</v>
      </c>
    </row>
    <row r="184" spans="1:10" x14ac:dyDescent="0.45">
      <c r="A184" s="29" t="s">
        <v>25</v>
      </c>
      <c r="B184" s="60">
        <v>43525</v>
      </c>
      <c r="C184" s="29" t="s">
        <v>36</v>
      </c>
      <c r="D184" s="9">
        <v>2036958</v>
      </c>
      <c r="E184" s="9">
        <v>952.54399999999998</v>
      </c>
      <c r="F184" s="9">
        <v>949.05609200000004</v>
      </c>
      <c r="G184" s="9">
        <v>890.99006799999995</v>
      </c>
      <c r="H184" s="9">
        <v>2693.1460000000002</v>
      </c>
      <c r="I184" s="9">
        <v>2011.5709999999999</v>
      </c>
      <c r="J184" s="9">
        <v>25.230201999999998</v>
      </c>
    </row>
    <row r="185" spans="1:10" x14ac:dyDescent="0.45">
      <c r="A185" s="29" t="s">
        <v>25</v>
      </c>
      <c r="B185" s="60">
        <v>43556</v>
      </c>
      <c r="C185" s="29" t="s">
        <v>46</v>
      </c>
      <c r="D185" s="9">
        <v>2747870</v>
      </c>
      <c r="E185" s="9">
        <v>829.12599999999998</v>
      </c>
      <c r="F185" s="9">
        <v>861.302548</v>
      </c>
      <c r="G185" s="9">
        <v>940.90168500000004</v>
      </c>
      <c r="H185" s="9">
        <v>3051.424</v>
      </c>
      <c r="I185" s="9">
        <v>2648.4259999999999</v>
      </c>
      <c r="J185" s="9">
        <v>10.698192000000001</v>
      </c>
    </row>
    <row r="186" spans="1:10" x14ac:dyDescent="0.45">
      <c r="A186" s="29" t="s">
        <v>25</v>
      </c>
      <c r="B186" s="60">
        <v>43586</v>
      </c>
      <c r="C186" s="29" t="s">
        <v>17</v>
      </c>
      <c r="D186" s="9">
        <v>2849657</v>
      </c>
      <c r="E186" s="9">
        <v>1226.884</v>
      </c>
      <c r="F186" s="9">
        <v>646.54062499999998</v>
      </c>
      <c r="G186" s="9">
        <v>827.04068800000005</v>
      </c>
      <c r="H186" s="9">
        <v>1772.0640000000001</v>
      </c>
      <c r="I186" s="9">
        <v>2448.8679999999999</v>
      </c>
      <c r="J186" s="9">
        <v>21.898475000000001</v>
      </c>
    </row>
    <row r="187" spans="1:10" x14ac:dyDescent="0.45">
      <c r="A187" s="29" t="s">
        <v>25</v>
      </c>
      <c r="B187" s="60">
        <v>43617</v>
      </c>
      <c r="C187" s="29" t="s">
        <v>45</v>
      </c>
      <c r="D187" s="9">
        <v>2263533</v>
      </c>
      <c r="E187" s="9">
        <v>584.71299999999997</v>
      </c>
      <c r="F187" s="9">
        <v>480.97782000000001</v>
      </c>
      <c r="G187" s="9">
        <v>423.87985600000002</v>
      </c>
      <c r="H187" s="9">
        <v>1173.2360000000001</v>
      </c>
      <c r="I187" s="9">
        <v>2014.634</v>
      </c>
      <c r="J187" s="9">
        <v>14.617862000000001</v>
      </c>
    </row>
    <row r="188" spans="1:10" x14ac:dyDescent="0.45">
      <c r="A188" s="29" t="s">
        <v>26</v>
      </c>
      <c r="B188" s="60">
        <v>43647</v>
      </c>
      <c r="C188" s="29" t="s">
        <v>44</v>
      </c>
      <c r="D188" s="9">
        <v>1871543</v>
      </c>
      <c r="E188" s="9">
        <v>732.31</v>
      </c>
      <c r="F188" s="9">
        <v>435.74309499999998</v>
      </c>
      <c r="G188" s="9">
        <v>1262.4357500000001</v>
      </c>
      <c r="H188" s="9">
        <v>2064.5369999999998</v>
      </c>
      <c r="I188" s="9">
        <v>1618.0540000000001</v>
      </c>
      <c r="J188" s="9">
        <v>32.699454000000003</v>
      </c>
    </row>
    <row r="189" spans="1:10" x14ac:dyDescent="0.45">
      <c r="A189" s="29" t="s">
        <v>26</v>
      </c>
      <c r="B189" s="60">
        <v>43678</v>
      </c>
      <c r="C189" s="29" t="s">
        <v>43</v>
      </c>
      <c r="D189" s="9">
        <v>2577577</v>
      </c>
      <c r="E189" s="9">
        <v>592.06700000000001</v>
      </c>
      <c r="F189" s="9">
        <v>392.53982500000001</v>
      </c>
      <c r="G189" s="9">
        <v>3548.1182450000001</v>
      </c>
      <c r="H189" s="9">
        <v>3037.39</v>
      </c>
      <c r="I189" s="9">
        <v>1765.9580000000001</v>
      </c>
      <c r="J189" s="9">
        <v>25.970106999999999</v>
      </c>
    </row>
    <row r="190" spans="1:10" x14ac:dyDescent="0.45">
      <c r="A190" s="29" t="s">
        <v>26</v>
      </c>
      <c r="B190" s="60">
        <v>43709</v>
      </c>
      <c r="C190" s="29" t="s">
        <v>42</v>
      </c>
      <c r="D190" s="9">
        <v>2164945</v>
      </c>
      <c r="E190" s="9">
        <v>916.904</v>
      </c>
      <c r="F190" s="9">
        <v>301.94991499999998</v>
      </c>
      <c r="G190" s="9">
        <v>3814.6222389999998</v>
      </c>
      <c r="H190" s="9">
        <v>2659.5360000000001</v>
      </c>
      <c r="I190" s="9">
        <v>1455.425</v>
      </c>
      <c r="J190" s="9">
        <v>15.292558</v>
      </c>
    </row>
    <row r="191" spans="1:10" x14ac:dyDescent="0.45">
      <c r="A191" s="29" t="s">
        <v>26</v>
      </c>
      <c r="B191" s="60">
        <v>43739</v>
      </c>
      <c r="C191" s="29" t="s">
        <v>41</v>
      </c>
      <c r="D191" s="9">
        <v>2271820</v>
      </c>
      <c r="E191" s="9">
        <v>589.85900000000004</v>
      </c>
      <c r="F191" s="9">
        <v>231.57137</v>
      </c>
      <c r="G191" s="9">
        <v>2905.3951849999999</v>
      </c>
      <c r="H191" s="9">
        <v>2696.4459999999999</v>
      </c>
      <c r="I191" s="9">
        <v>2023.5609999999999</v>
      </c>
      <c r="J191" s="9">
        <v>13.231865000000001</v>
      </c>
    </row>
    <row r="192" spans="1:10" x14ac:dyDescent="0.45">
      <c r="A192" s="29" t="s">
        <v>26</v>
      </c>
      <c r="B192" s="60">
        <v>43770</v>
      </c>
      <c r="C192" s="29" t="s">
        <v>40</v>
      </c>
      <c r="D192" s="9">
        <v>1757940</v>
      </c>
      <c r="E192" s="9">
        <v>552.00400000000002</v>
      </c>
      <c r="F192" s="9">
        <v>667.415978</v>
      </c>
      <c r="G192" s="9">
        <v>1938.133493</v>
      </c>
      <c r="H192" s="9">
        <v>2445.1889999999999</v>
      </c>
      <c r="I192" s="9">
        <v>1798.3510000000001</v>
      </c>
      <c r="J192" s="9">
        <v>20.323276</v>
      </c>
    </row>
    <row r="193" spans="1:10" x14ac:dyDescent="0.45">
      <c r="A193" s="29" t="s">
        <v>26</v>
      </c>
      <c r="B193" s="60">
        <v>43800</v>
      </c>
      <c r="C193" s="29" t="s">
        <v>39</v>
      </c>
      <c r="D193" s="9">
        <v>2198126</v>
      </c>
      <c r="E193" s="9">
        <v>919.38300000000004</v>
      </c>
      <c r="F193" s="9">
        <v>2103.5420800000002</v>
      </c>
      <c r="G193" s="9">
        <v>1486.767155</v>
      </c>
      <c r="H193" s="9">
        <v>3017.509</v>
      </c>
      <c r="I193" s="9">
        <v>1720.8209999999999</v>
      </c>
      <c r="J193" s="9">
        <v>15.953055000000001</v>
      </c>
    </row>
    <row r="194" spans="1:10" x14ac:dyDescent="0.45">
      <c r="A194" s="29" t="s">
        <v>26</v>
      </c>
      <c r="B194" s="60">
        <v>43831</v>
      </c>
      <c r="C194" s="29" t="s">
        <v>38</v>
      </c>
      <c r="D194" s="9">
        <v>1917056</v>
      </c>
      <c r="E194" s="9">
        <v>1297.6410000000001</v>
      </c>
      <c r="F194" s="9">
        <v>3815.7191870000001</v>
      </c>
      <c r="G194" s="9">
        <v>924.15302899999995</v>
      </c>
      <c r="H194" s="9">
        <v>2776.8220000000001</v>
      </c>
      <c r="I194" s="9">
        <v>1687.9159999999999</v>
      </c>
      <c r="J194" s="9">
        <v>27.698725</v>
      </c>
    </row>
    <row r="195" spans="1:10" x14ac:dyDescent="0.45">
      <c r="A195" s="29" t="s">
        <v>26</v>
      </c>
      <c r="B195" s="60">
        <v>43862</v>
      </c>
      <c r="C195" s="29" t="s">
        <v>37</v>
      </c>
      <c r="D195" s="9">
        <v>2189085</v>
      </c>
      <c r="E195" s="9">
        <v>799.18100000000004</v>
      </c>
      <c r="F195" s="9">
        <v>1916.074985</v>
      </c>
      <c r="G195" s="9">
        <v>680.59563400000002</v>
      </c>
      <c r="H195" s="9">
        <v>3815.9569999999999</v>
      </c>
      <c r="I195" s="9">
        <v>1359.9369999999999</v>
      </c>
      <c r="J195" s="9">
        <v>12.499793</v>
      </c>
    </row>
    <row r="196" spans="1:10" x14ac:dyDescent="0.45">
      <c r="A196" s="29" t="s">
        <v>26</v>
      </c>
      <c r="B196" s="60">
        <v>43891</v>
      </c>
      <c r="C196" s="29" t="s">
        <v>36</v>
      </c>
      <c r="D196" s="9">
        <v>1794269</v>
      </c>
      <c r="E196" s="9">
        <v>1019.133</v>
      </c>
      <c r="F196" s="9">
        <v>1407.9470309999999</v>
      </c>
      <c r="G196" s="9">
        <v>1309.846102</v>
      </c>
      <c r="H196" s="9">
        <v>5302.451</v>
      </c>
      <c r="I196" s="9">
        <v>1922.527</v>
      </c>
      <c r="J196" s="9">
        <v>8.5966690000000003</v>
      </c>
    </row>
    <row r="197" spans="1:10" x14ac:dyDescent="0.45">
      <c r="A197" s="29" t="s">
        <v>26</v>
      </c>
      <c r="B197" s="60">
        <v>43922</v>
      </c>
      <c r="C197" s="29" t="s">
        <v>46</v>
      </c>
      <c r="D197" s="9">
        <v>2482503</v>
      </c>
      <c r="E197" s="9">
        <v>864.14200000000005</v>
      </c>
      <c r="F197" s="9">
        <v>745.60298499999999</v>
      </c>
      <c r="G197" s="9">
        <v>1200.3015359999999</v>
      </c>
      <c r="H197" s="9">
        <v>4221.3959999999997</v>
      </c>
      <c r="I197" s="9">
        <v>2207.67</v>
      </c>
      <c r="J197" s="9">
        <v>39.314562000000002</v>
      </c>
    </row>
    <row r="198" spans="1:10" x14ac:dyDescent="0.45">
      <c r="A198" s="29" t="s">
        <v>26</v>
      </c>
      <c r="B198" s="60">
        <v>43952</v>
      </c>
      <c r="C198" s="29" t="s">
        <v>17</v>
      </c>
      <c r="D198" s="9">
        <v>2287365</v>
      </c>
      <c r="E198" s="9">
        <v>764.17899999999997</v>
      </c>
      <c r="F198" s="9">
        <v>391.88073800000001</v>
      </c>
      <c r="G198" s="9">
        <v>1191.4401089999999</v>
      </c>
      <c r="H198" s="9">
        <v>2947.337</v>
      </c>
      <c r="I198" s="9">
        <v>2966.337</v>
      </c>
      <c r="J198" s="9">
        <v>34.997411999999997</v>
      </c>
    </row>
    <row r="199" spans="1:10" x14ac:dyDescent="0.45">
      <c r="A199" s="29" t="s">
        <v>26</v>
      </c>
      <c r="B199" s="60">
        <v>43983</v>
      </c>
      <c r="C199" s="29" t="s">
        <v>45</v>
      </c>
      <c r="D199" s="9">
        <v>2277605</v>
      </c>
      <c r="E199" s="9">
        <v>1039.691</v>
      </c>
      <c r="F199" s="9">
        <v>319.48705999999999</v>
      </c>
      <c r="G199" s="9">
        <v>256.44899800000002</v>
      </c>
      <c r="H199" s="9">
        <v>2143.1260000000002</v>
      </c>
      <c r="I199" s="9">
        <v>2113.4430000000002</v>
      </c>
      <c r="J199" s="9">
        <v>37.176208000000003</v>
      </c>
    </row>
    <row r="200" spans="1:10" x14ac:dyDescent="0.45">
      <c r="A200" s="29" t="s">
        <v>27</v>
      </c>
      <c r="B200" s="60">
        <v>44013</v>
      </c>
      <c r="C200" s="29" t="s">
        <v>44</v>
      </c>
      <c r="D200" s="9">
        <v>2407119</v>
      </c>
      <c r="E200" s="9">
        <v>437.57100000000003</v>
      </c>
      <c r="F200" s="9">
        <v>339.12511000000001</v>
      </c>
      <c r="G200" s="9">
        <v>1239.1758359999999</v>
      </c>
      <c r="H200" s="9">
        <v>1507.579</v>
      </c>
      <c r="I200" s="9">
        <v>2763.9189999999999</v>
      </c>
      <c r="J200" s="9">
        <v>58.855573999999997</v>
      </c>
    </row>
    <row r="201" spans="1:10" x14ac:dyDescent="0.45">
      <c r="A201" s="29" t="s">
        <v>27</v>
      </c>
      <c r="B201" s="60">
        <v>44044</v>
      </c>
      <c r="C201" s="29" t="s">
        <v>43</v>
      </c>
      <c r="D201" s="9">
        <v>2563723</v>
      </c>
      <c r="E201" s="9">
        <v>378.245</v>
      </c>
      <c r="F201" s="9">
        <v>247.78814</v>
      </c>
      <c r="G201" s="9">
        <v>3701.2687470000001</v>
      </c>
      <c r="H201" s="9">
        <v>2065.9569999999999</v>
      </c>
      <c r="I201" s="9">
        <v>2368.5459999999998</v>
      </c>
      <c r="J201" s="9">
        <v>92.438986999999997</v>
      </c>
    </row>
    <row r="202" spans="1:10" x14ac:dyDescent="0.45">
      <c r="A202" s="29" t="s">
        <v>27</v>
      </c>
      <c r="B202" s="60">
        <v>44075</v>
      </c>
      <c r="C202" s="29" t="s">
        <v>42</v>
      </c>
      <c r="D202" s="9">
        <v>2685722</v>
      </c>
      <c r="E202" s="9">
        <v>443.07900000000001</v>
      </c>
      <c r="F202" s="9">
        <v>254.31765999999999</v>
      </c>
      <c r="G202" s="9">
        <v>3709.7261699999999</v>
      </c>
      <c r="H202" s="9">
        <v>2316.3229999999999</v>
      </c>
      <c r="I202" s="9">
        <v>1738.3389999999999</v>
      </c>
      <c r="J202" s="9">
        <v>140.389488</v>
      </c>
    </row>
    <row r="203" spans="1:10" x14ac:dyDescent="0.45">
      <c r="A203" s="29" t="s">
        <v>27</v>
      </c>
      <c r="B203" s="60">
        <v>44105</v>
      </c>
      <c r="C203" s="29" t="s">
        <v>41</v>
      </c>
      <c r="D203" s="9">
        <v>1738845</v>
      </c>
      <c r="E203" s="9">
        <v>363.28300000000002</v>
      </c>
      <c r="F203" s="9">
        <v>69.610510000000005</v>
      </c>
      <c r="G203" s="9">
        <v>2155.1017619999998</v>
      </c>
      <c r="H203" s="9">
        <v>2615.1219999999998</v>
      </c>
      <c r="I203" s="9">
        <v>2287.2350000000001</v>
      </c>
      <c r="J203" s="9">
        <v>212.46625299999999</v>
      </c>
    </row>
    <row r="204" spans="1:10" x14ac:dyDescent="0.45">
      <c r="A204" s="29" t="s">
        <v>27</v>
      </c>
      <c r="B204" s="60">
        <v>44136</v>
      </c>
      <c r="C204" s="29" t="s">
        <v>40</v>
      </c>
      <c r="D204" s="9">
        <v>1891357</v>
      </c>
      <c r="E204" s="9">
        <v>505.44900000000001</v>
      </c>
      <c r="F204" s="9">
        <v>293.90413999999998</v>
      </c>
      <c r="G204" s="9">
        <v>1190.430224</v>
      </c>
      <c r="H204" s="9">
        <v>2866.3490000000002</v>
      </c>
      <c r="I204" s="9">
        <v>2368.2860000000001</v>
      </c>
      <c r="J204" s="9">
        <v>230.59359900000001</v>
      </c>
    </row>
    <row r="205" spans="1:10" x14ac:dyDescent="0.45">
      <c r="A205" s="29" t="s">
        <v>27</v>
      </c>
      <c r="B205" s="60">
        <v>44166</v>
      </c>
      <c r="C205" s="29" t="s">
        <v>39</v>
      </c>
      <c r="D205" s="9">
        <v>1879846</v>
      </c>
      <c r="E205" s="9">
        <v>2485.306</v>
      </c>
      <c r="F205" s="9">
        <v>840.52651500000002</v>
      </c>
      <c r="G205" s="9">
        <v>494.94881900000001</v>
      </c>
      <c r="H205" s="9">
        <v>3316.5949999999998</v>
      </c>
      <c r="I205" s="9">
        <v>2290.1930000000002</v>
      </c>
      <c r="J205" s="9">
        <v>221.79953599999999</v>
      </c>
    </row>
    <row r="206" spans="1:10" x14ac:dyDescent="0.45">
      <c r="A206" s="29" t="s">
        <v>27</v>
      </c>
      <c r="B206" s="60">
        <v>44197</v>
      </c>
      <c r="C206" s="29" t="s">
        <v>38</v>
      </c>
      <c r="D206" s="9">
        <v>1988626</v>
      </c>
      <c r="E206" s="9">
        <v>2401.3670000000002</v>
      </c>
      <c r="F206" s="9">
        <v>507.69638600000002</v>
      </c>
      <c r="G206" s="9">
        <v>401.08499799999998</v>
      </c>
      <c r="H206" s="9">
        <v>2207.1999999999998</v>
      </c>
      <c r="I206" s="9">
        <v>2444.7449999999999</v>
      </c>
      <c r="J206" s="9">
        <v>309.00178299999999</v>
      </c>
    </row>
    <row r="207" spans="1:10" x14ac:dyDescent="0.45">
      <c r="A207" s="29" t="s">
        <v>27</v>
      </c>
      <c r="B207" s="60">
        <v>44228</v>
      </c>
      <c r="C207" s="29" t="s">
        <v>37</v>
      </c>
      <c r="D207" s="9">
        <v>1764522</v>
      </c>
      <c r="E207" s="9">
        <v>2625.703</v>
      </c>
      <c r="F207" s="9">
        <v>708.99805300000003</v>
      </c>
      <c r="G207" s="9">
        <v>121.330839</v>
      </c>
      <c r="H207" s="9">
        <v>2603.2170000000001</v>
      </c>
      <c r="I207" s="9">
        <v>1626.8330000000001</v>
      </c>
      <c r="J207" s="9">
        <v>395.64615900000001</v>
      </c>
    </row>
    <row r="208" spans="1:10" x14ac:dyDescent="0.45">
      <c r="A208" s="29" t="s">
        <v>27</v>
      </c>
      <c r="B208" s="60">
        <v>44256</v>
      </c>
      <c r="C208" s="29" t="s">
        <v>36</v>
      </c>
      <c r="D208" s="9">
        <v>2261681</v>
      </c>
      <c r="E208" s="9">
        <v>2296.8290000000002</v>
      </c>
      <c r="F208" s="9">
        <v>696.95005600000002</v>
      </c>
      <c r="G208" s="9">
        <v>45.341512999999999</v>
      </c>
      <c r="H208" s="9">
        <v>2612.9870000000001</v>
      </c>
      <c r="I208" s="9">
        <v>2577.0030000000002</v>
      </c>
      <c r="J208" s="9">
        <v>381.15047099999998</v>
      </c>
    </row>
    <row r="209" spans="1:10" x14ac:dyDescent="0.45">
      <c r="A209" s="29" t="s">
        <v>27</v>
      </c>
      <c r="B209" s="60">
        <v>44287</v>
      </c>
      <c r="C209" s="29" t="s">
        <v>46</v>
      </c>
      <c r="D209" s="9">
        <v>2548591</v>
      </c>
      <c r="E209" s="9">
        <v>2403.328</v>
      </c>
      <c r="F209" s="9">
        <v>713.19848200000001</v>
      </c>
      <c r="G209" s="9">
        <v>0</v>
      </c>
      <c r="H209" s="9">
        <v>2276.9050000000002</v>
      </c>
      <c r="I209" s="9">
        <v>2458.2489999999998</v>
      </c>
      <c r="J209" s="9">
        <v>242.857687</v>
      </c>
    </row>
    <row r="210" spans="1:10" x14ac:dyDescent="0.45">
      <c r="A210" s="29" t="s">
        <v>27</v>
      </c>
      <c r="B210" s="60">
        <v>44317</v>
      </c>
      <c r="C210" s="29" t="s">
        <v>17</v>
      </c>
      <c r="D210" s="9">
        <v>2484395</v>
      </c>
      <c r="E210" s="9">
        <v>2580.0700000000002</v>
      </c>
      <c r="F210" s="9">
        <v>857.66653099999996</v>
      </c>
      <c r="G210" s="9">
        <v>1.0000000000000001E-5</v>
      </c>
      <c r="H210" s="9">
        <v>1955.9190000000001</v>
      </c>
      <c r="I210" s="9">
        <v>2460.4340000000002</v>
      </c>
      <c r="J210" s="9">
        <v>409.009502</v>
      </c>
    </row>
    <row r="211" spans="1:10" x14ac:dyDescent="0.45">
      <c r="A211" s="29" t="s">
        <v>27</v>
      </c>
      <c r="B211" s="60">
        <v>44348</v>
      </c>
      <c r="C211" s="29" t="s">
        <v>45</v>
      </c>
      <c r="D211" s="9">
        <v>1871291</v>
      </c>
      <c r="E211" s="9">
        <v>2765.8130000000001</v>
      </c>
      <c r="F211" s="9">
        <v>662.23156700000004</v>
      </c>
      <c r="G211" s="9">
        <v>0</v>
      </c>
      <c r="H211" s="9">
        <v>987.35199999999998</v>
      </c>
      <c r="I211" s="9">
        <v>1992.1079999999999</v>
      </c>
      <c r="J211" s="9">
        <v>458.33842900000002</v>
      </c>
    </row>
    <row r="212" spans="1:10" x14ac:dyDescent="0.45">
      <c r="A212" s="29" t="s">
        <v>28</v>
      </c>
      <c r="B212" s="60">
        <v>44378</v>
      </c>
      <c r="C212" s="29" t="s">
        <v>44</v>
      </c>
      <c r="D212" s="9">
        <v>2203236</v>
      </c>
      <c r="E212" s="9">
        <v>1900.461</v>
      </c>
      <c r="F212" s="9">
        <v>960.59852999999998</v>
      </c>
      <c r="G212" s="9">
        <v>1.9999999999999999E-6</v>
      </c>
      <c r="H212" s="9">
        <v>1640.855</v>
      </c>
      <c r="I212" s="9">
        <v>1477.298</v>
      </c>
      <c r="J212" s="9">
        <v>377.25145600000002</v>
      </c>
    </row>
    <row r="213" spans="1:10" x14ac:dyDescent="0.45">
      <c r="A213" s="29" t="s">
        <v>28</v>
      </c>
      <c r="B213" s="60">
        <v>44409</v>
      </c>
      <c r="C213" s="29" t="s">
        <v>43</v>
      </c>
      <c r="D213" s="9">
        <v>2602003</v>
      </c>
      <c r="E213" s="9">
        <v>2112.643</v>
      </c>
      <c r="F213" s="9">
        <v>3612.050565</v>
      </c>
      <c r="G213" s="9">
        <v>21.014759999999999</v>
      </c>
      <c r="H213" s="9">
        <v>3645.2370000000001</v>
      </c>
      <c r="I213" s="9">
        <v>1944.3510000000001</v>
      </c>
      <c r="J213" s="9">
        <v>523.00899400000003</v>
      </c>
    </row>
    <row r="214" spans="1:10" x14ac:dyDescent="0.45">
      <c r="A214" s="29" t="s">
        <v>28</v>
      </c>
      <c r="B214" s="60">
        <v>44440</v>
      </c>
      <c r="C214" s="29" t="s">
        <v>42</v>
      </c>
      <c r="D214" s="9">
        <v>2331584</v>
      </c>
      <c r="E214" s="9">
        <v>1255.826</v>
      </c>
      <c r="F214" s="9">
        <v>4362.9818580000001</v>
      </c>
      <c r="G214" s="9">
        <v>1.5E-5</v>
      </c>
      <c r="H214" s="9">
        <v>4169.6019999999999</v>
      </c>
      <c r="I214" s="9">
        <v>1326.0519999999999</v>
      </c>
      <c r="J214" s="9">
        <v>365.50664499999999</v>
      </c>
    </row>
    <row r="215" spans="1:10" x14ac:dyDescent="0.45">
      <c r="A215" s="29" t="s">
        <v>28</v>
      </c>
      <c r="B215" s="60">
        <v>44470</v>
      </c>
      <c r="C215" s="29" t="s">
        <v>41</v>
      </c>
      <c r="D215" s="9">
        <v>1247079</v>
      </c>
      <c r="E215" s="9">
        <v>1441.989</v>
      </c>
      <c r="F215" s="9">
        <v>3414.9189240000001</v>
      </c>
      <c r="G215" s="9">
        <v>0</v>
      </c>
      <c r="H215" s="9">
        <v>2445.9</v>
      </c>
      <c r="I215" s="9">
        <v>1136.1759999999999</v>
      </c>
      <c r="J215" s="9">
        <v>876.96850600000005</v>
      </c>
    </row>
    <row r="216" spans="1:10" x14ac:dyDescent="0.45">
      <c r="A216" s="29" t="s">
        <v>28</v>
      </c>
      <c r="B216" s="60">
        <v>44501</v>
      </c>
      <c r="C216" s="29" t="s">
        <v>40</v>
      </c>
      <c r="D216" s="9">
        <v>1370415</v>
      </c>
      <c r="E216" s="9">
        <v>1526.63</v>
      </c>
      <c r="F216" s="9">
        <v>2375.0333860000001</v>
      </c>
      <c r="G216" s="9">
        <v>2.8E-5</v>
      </c>
      <c r="H216" s="9">
        <v>2202.5859999999998</v>
      </c>
      <c r="I216" s="9">
        <v>1140.94</v>
      </c>
      <c r="J216" s="9">
        <v>910.64349200000004</v>
      </c>
    </row>
    <row r="217" spans="1:10" x14ac:dyDescent="0.45">
      <c r="A217" s="29" t="s">
        <v>28</v>
      </c>
      <c r="B217" s="60">
        <v>44531</v>
      </c>
      <c r="C217" s="29" t="s">
        <v>39</v>
      </c>
      <c r="D217" s="9">
        <v>1237292</v>
      </c>
      <c r="E217" s="9">
        <v>2182.6170000000002</v>
      </c>
      <c r="F217" s="9">
        <v>1173.06522</v>
      </c>
      <c r="G217" s="9">
        <v>540.51514999999995</v>
      </c>
      <c r="H217" s="9">
        <v>2227.989</v>
      </c>
      <c r="I217" s="9">
        <v>929.53200000000004</v>
      </c>
      <c r="J217" s="9">
        <v>931.50779999999997</v>
      </c>
    </row>
    <row r="218" spans="1:10" x14ac:dyDescent="0.45">
      <c r="A218" s="29" t="s">
        <v>28</v>
      </c>
      <c r="B218" s="60">
        <v>44562</v>
      </c>
      <c r="C218" s="29" t="s">
        <v>38</v>
      </c>
      <c r="D218" s="9">
        <v>1675742</v>
      </c>
      <c r="E218" s="9">
        <v>2658.1280000000002</v>
      </c>
      <c r="F218" s="9">
        <v>1148.895534</v>
      </c>
      <c r="G218" s="9">
        <v>586.39299500000004</v>
      </c>
      <c r="H218" s="9">
        <v>1941.8589999999999</v>
      </c>
      <c r="I218" s="9">
        <v>1091.374</v>
      </c>
      <c r="J218" s="9">
        <v>977.72092799999996</v>
      </c>
    </row>
    <row r="219" spans="1:10" x14ac:dyDescent="0.45">
      <c r="A219" s="29" t="s">
        <v>28</v>
      </c>
      <c r="B219" s="60">
        <v>44593</v>
      </c>
      <c r="C219" s="29" t="s">
        <v>37</v>
      </c>
      <c r="D219" s="9">
        <v>1889144</v>
      </c>
      <c r="E219" s="9">
        <v>2703.4140000000002</v>
      </c>
      <c r="F219" s="9">
        <v>1040.2974139999999</v>
      </c>
      <c r="G219" s="9">
        <v>820.22796000000005</v>
      </c>
      <c r="H219" s="9">
        <v>1957.249</v>
      </c>
      <c r="I219" s="9">
        <v>1148.2190000000001</v>
      </c>
      <c r="J219" s="9">
        <v>601.00140599999997</v>
      </c>
    </row>
    <row r="220" spans="1:10" x14ac:dyDescent="0.45">
      <c r="A220" s="29" t="s">
        <v>28</v>
      </c>
      <c r="B220" s="60">
        <v>44621</v>
      </c>
      <c r="C220" s="29" t="s">
        <v>36</v>
      </c>
      <c r="D220" s="9">
        <v>1624358</v>
      </c>
      <c r="E220" s="9">
        <v>2481.4549999999999</v>
      </c>
      <c r="F220" s="9">
        <v>306.53069699999998</v>
      </c>
      <c r="G220" s="9">
        <v>768.60185899999999</v>
      </c>
      <c r="H220" s="9">
        <v>2368.7939999999999</v>
      </c>
      <c r="I220" s="9">
        <v>1075.982</v>
      </c>
      <c r="J220" s="9">
        <v>568.66002000000003</v>
      </c>
    </row>
    <row r="221" spans="1:10" x14ac:dyDescent="0.45">
      <c r="A221" s="29" t="s">
        <v>28</v>
      </c>
      <c r="B221" s="60">
        <v>44652</v>
      </c>
      <c r="C221" s="29" t="s">
        <v>46</v>
      </c>
      <c r="D221" s="9">
        <v>1733052</v>
      </c>
      <c r="E221" s="9">
        <v>2569.6559999999999</v>
      </c>
      <c r="F221" s="9">
        <v>127.12958500000001</v>
      </c>
      <c r="G221" s="9">
        <v>147.16841600000001</v>
      </c>
      <c r="H221" s="9">
        <v>2247.54</v>
      </c>
      <c r="I221" s="9">
        <v>1051.6120000000001</v>
      </c>
      <c r="J221" s="9">
        <v>1472.7853990000001</v>
      </c>
    </row>
    <row r="222" spans="1:10" x14ac:dyDescent="0.45">
      <c r="A222" s="29" t="s">
        <v>28</v>
      </c>
      <c r="B222" s="60">
        <v>44682</v>
      </c>
      <c r="C222" s="29" t="s">
        <v>17</v>
      </c>
      <c r="D222" s="9">
        <v>1355437</v>
      </c>
      <c r="E222" s="9">
        <v>2341.9920000000002</v>
      </c>
      <c r="F222" s="9">
        <v>50.326332000000001</v>
      </c>
      <c r="G222" s="9">
        <v>107.98893200000001</v>
      </c>
      <c r="H222" s="9">
        <v>2252.5500000000002</v>
      </c>
      <c r="I222" s="9">
        <v>1360.595</v>
      </c>
      <c r="J222" s="9">
        <v>1134.7696089999999</v>
      </c>
    </row>
    <row r="223" spans="1:10" x14ac:dyDescent="0.45">
      <c r="A223" s="29" t="s">
        <v>28</v>
      </c>
      <c r="B223" s="60">
        <v>44713</v>
      </c>
      <c r="C223" s="29" t="s">
        <v>45</v>
      </c>
      <c r="D223" s="9">
        <v>1563441</v>
      </c>
      <c r="E223" s="9">
        <v>2710.4589999999998</v>
      </c>
      <c r="F223" s="9">
        <v>142.668667</v>
      </c>
      <c r="G223" s="9">
        <v>36.309688999999999</v>
      </c>
      <c r="H223" s="9">
        <v>2413.3110000000001</v>
      </c>
      <c r="I223" s="9">
        <v>1009.014</v>
      </c>
      <c r="J223" s="9">
        <v>724.70329600000002</v>
      </c>
    </row>
    <row r="224" spans="1:10" x14ac:dyDescent="0.45">
      <c r="A224" s="29" t="s">
        <v>29</v>
      </c>
      <c r="B224" s="60">
        <v>44743</v>
      </c>
      <c r="C224" s="29" t="s">
        <v>44</v>
      </c>
      <c r="D224" s="9">
        <v>1461967</v>
      </c>
      <c r="E224" s="9">
        <v>2583.6750000000002</v>
      </c>
      <c r="F224" s="9">
        <v>374.873828</v>
      </c>
      <c r="G224" s="9">
        <v>4.0000000000000003E-5</v>
      </c>
      <c r="H224" s="9">
        <v>2964.1610000000001</v>
      </c>
      <c r="I224" s="9">
        <v>1603.8869999999999</v>
      </c>
      <c r="J224" s="9">
        <v>494.22143399999999</v>
      </c>
    </row>
    <row r="225" spans="1:10" x14ac:dyDescent="0.45">
      <c r="A225" s="29" t="s">
        <v>29</v>
      </c>
      <c r="B225" s="60">
        <v>44774</v>
      </c>
      <c r="C225" s="29" t="s">
        <v>43</v>
      </c>
      <c r="D225" s="9">
        <v>2515933</v>
      </c>
      <c r="E225" s="9">
        <v>2479.2750000000001</v>
      </c>
      <c r="F225" s="9">
        <v>880.05204900000001</v>
      </c>
      <c r="G225" s="9">
        <v>2.5000000000000001E-5</v>
      </c>
      <c r="H225" s="9">
        <v>4261.4049999999997</v>
      </c>
      <c r="I225" s="9">
        <v>1264.5060000000001</v>
      </c>
      <c r="J225" s="9">
        <v>580.81362999999999</v>
      </c>
    </row>
    <row r="226" spans="1:10" x14ac:dyDescent="0.45">
      <c r="A226" s="29" t="s">
        <v>29</v>
      </c>
      <c r="B226" s="60">
        <v>44805</v>
      </c>
      <c r="C226" s="29" t="s">
        <v>42</v>
      </c>
      <c r="D226" s="9">
        <v>3062901</v>
      </c>
      <c r="E226" s="9">
        <v>1785.76</v>
      </c>
      <c r="F226" s="9">
        <v>1782.7472600000001</v>
      </c>
      <c r="G226" s="9">
        <v>0</v>
      </c>
      <c r="H226" s="9">
        <v>3046.779</v>
      </c>
      <c r="I226" s="9">
        <v>1842.95</v>
      </c>
      <c r="J226" s="9">
        <v>182.99655999999999</v>
      </c>
    </row>
    <row r="227" spans="1:10" x14ac:dyDescent="0.45">
      <c r="A227" s="29" t="s">
        <v>29</v>
      </c>
      <c r="B227" s="60">
        <v>44835</v>
      </c>
      <c r="C227" s="29" t="s">
        <v>41</v>
      </c>
      <c r="D227" s="9">
        <v>1383457</v>
      </c>
      <c r="E227" s="9">
        <v>2007.0429999999999</v>
      </c>
      <c r="F227" s="9">
        <v>1952.3405230000001</v>
      </c>
      <c r="G227" s="9">
        <v>0.16200000000000001</v>
      </c>
      <c r="H227" s="9">
        <v>2995.5030000000002</v>
      </c>
      <c r="I227" s="9">
        <v>2548.145</v>
      </c>
      <c r="J227" s="9">
        <v>65.684309999999996</v>
      </c>
    </row>
    <row r="228" spans="1:10" x14ac:dyDescent="0.45">
      <c r="A228" s="29" t="s">
        <v>29</v>
      </c>
      <c r="B228" s="60">
        <v>44866</v>
      </c>
      <c r="C228" s="29" t="s">
        <v>40</v>
      </c>
      <c r="D228" s="9">
        <v>1138828</v>
      </c>
      <c r="E228" s="9">
        <v>1773.357</v>
      </c>
      <c r="F228" s="9">
        <v>1767.096372</v>
      </c>
      <c r="G228" s="9">
        <v>71.959040000000002</v>
      </c>
      <c r="H228" s="9">
        <v>2485.7829999999999</v>
      </c>
      <c r="I228" s="9">
        <v>2617.317</v>
      </c>
      <c r="J228" s="9">
        <v>0.375</v>
      </c>
    </row>
    <row r="229" spans="1:10" x14ac:dyDescent="0.45">
      <c r="A229" s="29" t="s">
        <v>29</v>
      </c>
      <c r="B229" s="60">
        <v>44896</v>
      </c>
      <c r="C229" s="29" t="s">
        <v>39</v>
      </c>
      <c r="D229" s="9">
        <v>1130179</v>
      </c>
      <c r="E229" s="9">
        <v>2666.18</v>
      </c>
      <c r="F229" s="9">
        <v>1642.7720890000001</v>
      </c>
      <c r="G229" s="9">
        <v>530.09497399999998</v>
      </c>
      <c r="H229" s="9">
        <v>2462.145</v>
      </c>
      <c r="I229" s="9">
        <v>1935.5029999999999</v>
      </c>
      <c r="J229" s="9">
        <v>0.39100000000000001</v>
      </c>
    </row>
    <row r="230" spans="1:10" x14ac:dyDescent="0.45">
      <c r="A230" s="29" t="s">
        <v>29</v>
      </c>
      <c r="B230" s="60">
        <v>44927</v>
      </c>
      <c r="C230" s="29" t="s">
        <v>38</v>
      </c>
      <c r="D230" s="9">
        <v>1795048</v>
      </c>
      <c r="E230" s="9">
        <v>3246.6970000000001</v>
      </c>
      <c r="F230" s="9">
        <v>1321.3496829999999</v>
      </c>
      <c r="G230" s="9">
        <v>561.51926900000001</v>
      </c>
      <c r="H230" s="9">
        <v>2152.86</v>
      </c>
      <c r="I230" s="9">
        <v>2641.2829999999999</v>
      </c>
      <c r="J230" s="9">
        <v>7.4999999999999997E-2</v>
      </c>
    </row>
    <row r="231" spans="1:10" x14ac:dyDescent="0.45">
      <c r="A231" s="29" t="s">
        <v>29</v>
      </c>
      <c r="B231" s="60">
        <v>44958</v>
      </c>
      <c r="C231" s="29" t="s">
        <v>37</v>
      </c>
      <c r="D231" s="9">
        <v>1891140</v>
      </c>
      <c r="E231" s="9">
        <v>3059.82</v>
      </c>
      <c r="F231" s="9">
        <v>1607.039869</v>
      </c>
      <c r="G231" s="9">
        <v>533.41717100000005</v>
      </c>
      <c r="H231" s="9">
        <v>2032.932</v>
      </c>
      <c r="I231" s="9">
        <v>2019.3679999999999</v>
      </c>
      <c r="J231" s="9">
        <v>19.560935000000001</v>
      </c>
    </row>
    <row r="232" spans="1:10" x14ac:dyDescent="0.45">
      <c r="A232" s="29" t="s">
        <v>29</v>
      </c>
      <c r="B232" s="60">
        <v>44986</v>
      </c>
      <c r="C232" s="29" t="s">
        <v>36</v>
      </c>
      <c r="D232" s="9">
        <v>1384959</v>
      </c>
      <c r="E232" s="9">
        <v>3766.0430000000001</v>
      </c>
      <c r="F232" s="9">
        <v>1648.6252930000001</v>
      </c>
      <c r="G232" s="9">
        <v>607.68507099999999</v>
      </c>
      <c r="H232" s="9">
        <v>2402.3130000000001</v>
      </c>
      <c r="I232" s="9">
        <v>2587.8760000000002</v>
      </c>
      <c r="J232" s="9">
        <v>19.238251000000002</v>
      </c>
    </row>
    <row r="233" spans="1:10" x14ac:dyDescent="0.45">
      <c r="A233" s="29" t="s">
        <v>29</v>
      </c>
      <c r="B233" s="60">
        <v>45017</v>
      </c>
      <c r="C233" s="29" t="s">
        <v>46</v>
      </c>
      <c r="D233" s="9">
        <v>1437841</v>
      </c>
      <c r="E233" s="9">
        <v>3045.8330000000001</v>
      </c>
      <c r="F233" s="9">
        <v>1400.992491</v>
      </c>
      <c r="G233" s="9">
        <v>280.53807899999998</v>
      </c>
      <c r="H233" s="9">
        <v>2906.2570000000001</v>
      </c>
      <c r="I233" s="9">
        <v>2432.54</v>
      </c>
      <c r="J233" s="9">
        <v>1.631195</v>
      </c>
    </row>
    <row r="234" spans="1:10" x14ac:dyDescent="0.45">
      <c r="A234" s="29" t="s">
        <v>29</v>
      </c>
      <c r="B234" s="60">
        <v>45047</v>
      </c>
      <c r="C234" s="29" t="s">
        <v>17</v>
      </c>
      <c r="D234" s="9">
        <v>1474617</v>
      </c>
      <c r="E234" s="9">
        <v>3308.904</v>
      </c>
      <c r="F234" s="9">
        <v>1109.531367</v>
      </c>
      <c r="G234" s="9">
        <v>68.141380999999996</v>
      </c>
      <c r="H234" s="9">
        <v>2722.3130000000001</v>
      </c>
      <c r="I234" s="9">
        <v>1662.9390000000001</v>
      </c>
      <c r="J234" s="9">
        <v>1.3803620000000001</v>
      </c>
    </row>
    <row r="235" spans="1:10" x14ac:dyDescent="0.45">
      <c r="A235" s="29" t="s">
        <v>29</v>
      </c>
      <c r="B235" s="60">
        <v>45078</v>
      </c>
      <c r="C235" s="29" t="s">
        <v>45</v>
      </c>
      <c r="D235" s="9">
        <v>1116858</v>
      </c>
      <c r="E235" s="9">
        <v>2559.0300000000002</v>
      </c>
      <c r="F235" s="9">
        <v>1385.183589</v>
      </c>
      <c r="G235" s="9">
        <v>0</v>
      </c>
      <c r="H235" s="9">
        <v>2358.2629999999999</v>
      </c>
      <c r="I235" s="9">
        <v>1808.5219999999999</v>
      </c>
      <c r="J235" s="9">
        <v>1.3748149999999999</v>
      </c>
    </row>
    <row r="236" spans="1:10" x14ac:dyDescent="0.45">
      <c r="A236" s="29" t="s">
        <v>30</v>
      </c>
      <c r="B236" s="60">
        <v>45108</v>
      </c>
      <c r="C236" s="29" t="s">
        <v>44</v>
      </c>
      <c r="D236" s="9">
        <v>1708400</v>
      </c>
      <c r="E236" s="9">
        <v>2683.1019999999999</v>
      </c>
      <c r="F236" s="9">
        <v>821.39738</v>
      </c>
      <c r="G236" s="9">
        <v>4.6999999999999997E-5</v>
      </c>
      <c r="H236" s="9">
        <v>3149.357</v>
      </c>
      <c r="I236" s="9">
        <v>1893.876</v>
      </c>
      <c r="J236" s="9">
        <v>7.2452500000000004</v>
      </c>
    </row>
    <row r="237" spans="1:10" x14ac:dyDescent="0.45">
      <c r="A237" s="29" t="s">
        <v>30</v>
      </c>
      <c r="B237" s="60">
        <v>45139</v>
      </c>
      <c r="C237" s="29" t="s">
        <v>43</v>
      </c>
      <c r="D237" s="9">
        <v>1435738</v>
      </c>
      <c r="E237" s="9">
        <v>2182.4940000000001</v>
      </c>
      <c r="F237" s="9">
        <v>1205.0361760000001</v>
      </c>
      <c r="G237" s="9">
        <v>0.18901000000000001</v>
      </c>
      <c r="H237" s="9">
        <v>2428.0140000000001</v>
      </c>
      <c r="I237" s="9">
        <v>1540.2180000000001</v>
      </c>
      <c r="J237" s="9">
        <v>41.298082000000001</v>
      </c>
    </row>
    <row r="238" spans="1:10" x14ac:dyDescent="0.45">
      <c r="A238" s="29" t="s">
        <v>30</v>
      </c>
      <c r="B238" s="60">
        <v>45170</v>
      </c>
      <c r="C238" s="29" t="s">
        <v>42</v>
      </c>
      <c r="D238" s="9">
        <v>1874952</v>
      </c>
      <c r="E238" s="9">
        <v>1493.796</v>
      </c>
      <c r="F238" s="9">
        <v>1309.3453939999999</v>
      </c>
      <c r="G238" s="9">
        <v>0</v>
      </c>
      <c r="H238" s="9">
        <v>3334.7710000000002</v>
      </c>
      <c r="I238" s="9">
        <v>2207.4630000000002</v>
      </c>
      <c r="J238" s="9">
        <v>19.115783</v>
      </c>
    </row>
    <row r="239" spans="1:10" x14ac:dyDescent="0.45">
      <c r="A239" s="29" t="s">
        <v>30</v>
      </c>
      <c r="B239" s="60">
        <v>45200</v>
      </c>
      <c r="C239" s="29" t="s">
        <v>41</v>
      </c>
      <c r="D239" s="9">
        <v>1032891</v>
      </c>
      <c r="E239" s="9">
        <v>1411.018</v>
      </c>
      <c r="F239" s="9">
        <v>1294.790407</v>
      </c>
      <c r="G239" s="9">
        <v>7.3500040000000002</v>
      </c>
      <c r="H239" s="9">
        <v>3118.6120000000001</v>
      </c>
      <c r="I239" s="9">
        <v>2351.7489999999998</v>
      </c>
      <c r="J239" s="9">
        <v>7.2732799999999997</v>
      </c>
    </row>
    <row r="240" spans="1:10" x14ac:dyDescent="0.45">
      <c r="A240" s="29" t="s">
        <v>30</v>
      </c>
      <c r="B240" s="60">
        <v>45231</v>
      </c>
      <c r="C240" s="29" t="s">
        <v>40</v>
      </c>
      <c r="D240" s="9">
        <v>1162335</v>
      </c>
      <c r="E240" s="9">
        <v>1129.6769999999999</v>
      </c>
      <c r="F240" s="9">
        <v>1278.2356</v>
      </c>
      <c r="G240" s="9">
        <v>0</v>
      </c>
      <c r="H240" s="9">
        <v>2866.585</v>
      </c>
      <c r="I240" s="9">
        <v>2338.3620000000001</v>
      </c>
      <c r="J240" s="9">
        <v>16.939094999999998</v>
      </c>
    </row>
    <row r="241" spans="1:10" x14ac:dyDescent="0.45">
      <c r="A241" s="29" t="s">
        <v>30</v>
      </c>
      <c r="B241" s="60">
        <v>45261</v>
      </c>
      <c r="C241" s="29" t="s">
        <v>39</v>
      </c>
      <c r="D241" s="9">
        <v>1469346</v>
      </c>
      <c r="E241" s="9">
        <v>1381.3869999999999</v>
      </c>
      <c r="F241" s="9">
        <v>1714.60241</v>
      </c>
      <c r="G241" s="9">
        <v>295.32080500000001</v>
      </c>
      <c r="H241" s="9">
        <v>3329.364</v>
      </c>
      <c r="I241" s="9">
        <v>2107.384</v>
      </c>
      <c r="J241" s="9">
        <v>22.222175</v>
      </c>
    </row>
    <row r="242" spans="1:10" x14ac:dyDescent="0.45">
      <c r="A242" s="29" t="s">
        <v>30</v>
      </c>
      <c r="B242" s="60">
        <v>45292</v>
      </c>
      <c r="C242" s="29" t="s">
        <v>38</v>
      </c>
      <c r="D242" s="9">
        <v>1401739</v>
      </c>
      <c r="E242" s="9">
        <v>2619.3180000000002</v>
      </c>
      <c r="F242" s="9">
        <v>1601.852052</v>
      </c>
      <c r="G242" s="9">
        <v>935.03128100000004</v>
      </c>
      <c r="H242" s="9">
        <v>3605.828</v>
      </c>
      <c r="I242" s="9">
        <v>1914.001</v>
      </c>
      <c r="J242" s="9">
        <v>25.706389999999999</v>
      </c>
    </row>
    <row r="243" spans="1:10" x14ac:dyDescent="0.45">
      <c r="A243" s="29" t="s">
        <v>30</v>
      </c>
      <c r="B243" s="60">
        <v>45323</v>
      </c>
      <c r="C243" s="29" t="s">
        <v>37</v>
      </c>
      <c r="D243" s="9">
        <v>1828984</v>
      </c>
      <c r="E243" s="9">
        <v>2292.7330000000002</v>
      </c>
      <c r="F243" s="9">
        <v>2555.6482369999999</v>
      </c>
      <c r="G243" s="9">
        <v>274.200715</v>
      </c>
      <c r="H243" s="9">
        <v>3101.277</v>
      </c>
      <c r="I243" s="9">
        <v>2132.1680000000001</v>
      </c>
      <c r="J243" s="9">
        <v>35.419468000000002</v>
      </c>
    </row>
    <row r="244" spans="1:10" x14ac:dyDescent="0.45">
      <c r="A244" s="29" t="s">
        <v>30</v>
      </c>
      <c r="B244" s="60">
        <v>45352</v>
      </c>
      <c r="C244" s="29" t="s">
        <v>36</v>
      </c>
      <c r="D244" s="9">
        <v>2052571</v>
      </c>
      <c r="E244" s="9">
        <v>2568.9520000000002</v>
      </c>
      <c r="F244" s="9">
        <v>2070.0596829999999</v>
      </c>
      <c r="G244" s="9">
        <v>830.25437499999998</v>
      </c>
      <c r="H244" s="9">
        <v>3210.5810000000001</v>
      </c>
      <c r="I244" s="9">
        <v>1994.6990000000001</v>
      </c>
      <c r="J244" s="9">
        <v>8.4700620000000004</v>
      </c>
    </row>
    <row r="245" spans="1:10" x14ac:dyDescent="0.45">
      <c r="A245" s="29" t="s">
        <v>30</v>
      </c>
      <c r="B245" s="60">
        <v>45383</v>
      </c>
      <c r="C245" s="29" t="s">
        <v>46</v>
      </c>
      <c r="D245" s="9">
        <v>1931299</v>
      </c>
      <c r="E245" s="9">
        <v>1849.646</v>
      </c>
      <c r="F245" s="9">
        <v>1936.038716</v>
      </c>
      <c r="G245" s="9">
        <v>362.61908599999998</v>
      </c>
      <c r="H245" s="9">
        <v>2465.46</v>
      </c>
      <c r="I245" s="9">
        <v>2828.8130000000001</v>
      </c>
      <c r="J245" s="9">
        <v>0.36128500000000002</v>
      </c>
    </row>
    <row r="246" spans="1:10" x14ac:dyDescent="0.45">
      <c r="A246" s="29" t="s">
        <v>30</v>
      </c>
      <c r="B246" s="60">
        <v>45413</v>
      </c>
      <c r="C246" s="29" t="s">
        <v>17</v>
      </c>
      <c r="D246" s="9">
        <v>1544115</v>
      </c>
      <c r="E246" s="9">
        <v>1592.037</v>
      </c>
      <c r="F246" s="9">
        <v>1650.5360310000001</v>
      </c>
      <c r="G246" s="9">
        <v>55.018763</v>
      </c>
      <c r="H246" s="9">
        <v>2326.89</v>
      </c>
      <c r="I246" s="9">
        <v>2115.6759999999999</v>
      </c>
      <c r="J246" s="9">
        <v>1.9999999999999999E-6</v>
      </c>
    </row>
    <row r="247" spans="1:10" x14ac:dyDescent="0.45">
      <c r="A247" s="29" t="s">
        <v>30</v>
      </c>
      <c r="B247" s="60">
        <v>45444</v>
      </c>
      <c r="C247" s="29" t="s">
        <v>45</v>
      </c>
      <c r="D247" s="9">
        <v>1515592</v>
      </c>
      <c r="E247" s="9">
        <v>1248.723</v>
      </c>
      <c r="F247" s="9">
        <v>977.10214900000005</v>
      </c>
      <c r="G247" s="9">
        <v>25.873121999999999</v>
      </c>
      <c r="H247" s="9">
        <v>2635.6680000000001</v>
      </c>
      <c r="I247" s="9">
        <v>1819.432</v>
      </c>
      <c r="J247" s="9">
        <v>0.66664999999999996</v>
      </c>
    </row>
    <row r="248" spans="1:10" x14ac:dyDescent="0.45">
      <c r="A248" s="29" t="s">
        <v>31</v>
      </c>
      <c r="B248" s="60">
        <v>45474</v>
      </c>
      <c r="C248" s="29" t="s">
        <v>44</v>
      </c>
      <c r="D248" s="9">
        <v>1881321</v>
      </c>
      <c r="E248" s="9">
        <v>1475.357</v>
      </c>
      <c r="F248" s="9">
        <v>1546.021675</v>
      </c>
      <c r="G248" s="9">
        <v>5.0884799999999997</v>
      </c>
      <c r="H248" s="9">
        <v>2997.8440000000001</v>
      </c>
      <c r="I248" s="9">
        <v>1659.154</v>
      </c>
      <c r="J248" s="9">
        <v>0.12435</v>
      </c>
    </row>
    <row r="249" spans="1:10" x14ac:dyDescent="0.45">
      <c r="A249" s="29" t="s">
        <v>31</v>
      </c>
      <c r="B249" s="60">
        <v>45505</v>
      </c>
      <c r="C249" s="29" t="s">
        <v>43</v>
      </c>
      <c r="D249" s="9">
        <v>2492096</v>
      </c>
      <c r="E249" s="9">
        <v>1202.0229999999999</v>
      </c>
      <c r="F249" s="9">
        <v>2237.2078390000001</v>
      </c>
      <c r="G249" s="9">
        <v>0</v>
      </c>
      <c r="H249" s="9">
        <v>2627.0990000000002</v>
      </c>
      <c r="I249" s="9">
        <v>1628.7550000000001</v>
      </c>
      <c r="J249" s="9">
        <v>0.350221</v>
      </c>
    </row>
    <row r="250" spans="1:10" x14ac:dyDescent="0.45">
      <c r="A250" s="29" t="s">
        <v>31</v>
      </c>
      <c r="B250" s="60">
        <v>45536</v>
      </c>
      <c r="C250" s="29" t="s">
        <v>42</v>
      </c>
      <c r="D250" s="9">
        <v>2490760</v>
      </c>
      <c r="E250" s="9">
        <v>961.74300000000005</v>
      </c>
      <c r="F250" s="9">
        <v>2315.393552</v>
      </c>
      <c r="G250" s="9">
        <v>8.0000000000000007E-5</v>
      </c>
      <c r="H250" s="9">
        <v>2102.2919999999999</v>
      </c>
      <c r="I250" s="9">
        <v>1654.17</v>
      </c>
      <c r="J250" s="9">
        <v>5.3999999999999999E-2</v>
      </c>
    </row>
    <row r="251" spans="1:10" x14ac:dyDescent="0.45">
      <c r="A251" s="29" t="s">
        <v>31</v>
      </c>
      <c r="B251" s="60">
        <v>45566</v>
      </c>
      <c r="C251" s="29" t="s">
        <v>41</v>
      </c>
      <c r="D251" s="9">
        <v>1377124</v>
      </c>
      <c r="E251" s="9">
        <v>1135.579</v>
      </c>
      <c r="F251" s="9">
        <v>1643.6218309999999</v>
      </c>
      <c r="G251" s="9">
        <v>2.6999999999999999E-5</v>
      </c>
      <c r="H251" s="9">
        <v>2121.7649999999999</v>
      </c>
      <c r="I251" s="9">
        <v>2677.67</v>
      </c>
      <c r="J251" s="9">
        <v>0</v>
      </c>
    </row>
    <row r="252" spans="1:10" x14ac:dyDescent="0.45">
      <c r="A252" s="29" t="s">
        <v>31</v>
      </c>
      <c r="B252" s="60">
        <v>45597</v>
      </c>
      <c r="C252" s="29" t="s">
        <v>40</v>
      </c>
      <c r="D252" s="9">
        <v>1213476</v>
      </c>
      <c r="E252" s="9">
        <v>576.88099999999997</v>
      </c>
      <c r="F252" s="9">
        <v>1329.6287090000001</v>
      </c>
      <c r="G252" s="9">
        <v>1.0003E-2</v>
      </c>
      <c r="H252" s="9">
        <v>2115.9369999999999</v>
      </c>
      <c r="I252" s="9">
        <v>2413.9160000000002</v>
      </c>
      <c r="J252" s="9">
        <v>0</v>
      </c>
    </row>
    <row r="253" spans="1:10" x14ac:dyDescent="0.45">
      <c r="A253" s="29" t="s">
        <v>31</v>
      </c>
      <c r="B253" s="60">
        <v>45627</v>
      </c>
      <c r="C253" s="29" t="s">
        <v>39</v>
      </c>
      <c r="D253" s="9">
        <v>1729056</v>
      </c>
      <c r="E253" s="9">
        <v>2147.0450000000001</v>
      </c>
      <c r="F253" s="9">
        <v>800.61409400000002</v>
      </c>
      <c r="G253" s="9">
        <v>344.244596</v>
      </c>
      <c r="H253" s="9">
        <v>1594.027</v>
      </c>
      <c r="I253" s="9">
        <v>2688.1080000000002</v>
      </c>
      <c r="J253" s="9">
        <v>0</v>
      </c>
    </row>
    <row r="254" spans="1:10" x14ac:dyDescent="0.45">
      <c r="A254" s="29" t="s">
        <v>31</v>
      </c>
      <c r="B254" s="60">
        <v>45658</v>
      </c>
      <c r="C254" s="29" t="s">
        <v>38</v>
      </c>
      <c r="D254" s="9">
        <v>1313424</v>
      </c>
      <c r="E254" s="9">
        <v>1796.712</v>
      </c>
      <c r="F254" s="9">
        <v>888.65970500000003</v>
      </c>
      <c r="G254" s="9">
        <v>551.67898700000001</v>
      </c>
      <c r="H254" s="9">
        <v>1641.425</v>
      </c>
      <c r="I254" s="9">
        <v>2605.2359999999999</v>
      </c>
      <c r="J254" s="9">
        <v>2.2006000000000001E-2</v>
      </c>
    </row>
    <row r="255" spans="1:10" x14ac:dyDescent="0.45">
      <c r="A255" s="29" t="s">
        <v>31</v>
      </c>
      <c r="B255" s="60">
        <v>45689</v>
      </c>
      <c r="C255" s="29" t="s">
        <v>37</v>
      </c>
      <c r="D255" s="9">
        <v>1764844</v>
      </c>
      <c r="E255" s="9">
        <v>2113.79</v>
      </c>
      <c r="F255" s="9">
        <v>1179.183401</v>
      </c>
      <c r="G255" s="9">
        <v>628.32881299999997</v>
      </c>
      <c r="H255" s="9">
        <v>2005.8530000000001</v>
      </c>
      <c r="I255" s="9">
        <v>1765.6210000000001</v>
      </c>
      <c r="J255" s="9">
        <v>0.27501999999999999</v>
      </c>
    </row>
    <row r="256" spans="1:10" x14ac:dyDescent="0.45">
      <c r="A256" s="29" t="s">
        <v>31</v>
      </c>
      <c r="B256" s="60">
        <v>45717</v>
      </c>
      <c r="C256" s="29" t="s">
        <v>36</v>
      </c>
      <c r="D256" s="9">
        <v>1799054</v>
      </c>
      <c r="E256" s="9">
        <v>2110.8670000000002</v>
      </c>
      <c r="F256" s="9">
        <v>1129.722714</v>
      </c>
      <c r="G256" s="9">
        <v>246.89762500000001</v>
      </c>
      <c r="H256" s="9">
        <v>2191.6089999999999</v>
      </c>
      <c r="I256" s="9">
        <v>2671.6619999999998</v>
      </c>
      <c r="J256" s="9">
        <v>0.81720000000000004</v>
      </c>
    </row>
    <row r="257" spans="1:10" x14ac:dyDescent="0.45">
      <c r="A257" s="29" t="s">
        <v>31</v>
      </c>
      <c r="B257" s="60">
        <v>45748</v>
      </c>
      <c r="C257" s="29" t="s">
        <v>46</v>
      </c>
      <c r="D257" s="9">
        <v>2197983</v>
      </c>
      <c r="E257" s="9">
        <v>2587.0439999999999</v>
      </c>
      <c r="F257" s="9">
        <v>771.38830099999996</v>
      </c>
      <c r="G257" s="9">
        <v>101.309766</v>
      </c>
      <c r="H257" s="9">
        <v>2217.2089999999998</v>
      </c>
      <c r="I257" s="9">
        <v>2821.5169999999998</v>
      </c>
      <c r="J257" s="9">
        <v>9.8000000000000004E-2</v>
      </c>
    </row>
    <row r="258" spans="1:10" x14ac:dyDescent="0.45">
      <c r="A258" s="29" t="s">
        <v>31</v>
      </c>
      <c r="B258" s="60">
        <v>45778</v>
      </c>
      <c r="C258" s="29" t="s">
        <v>17</v>
      </c>
      <c r="D258" s="9">
        <v>2160656</v>
      </c>
      <c r="E258" s="9">
        <v>2594.6210000000001</v>
      </c>
      <c r="F258" s="9">
        <v>959.76996899999995</v>
      </c>
      <c r="G258" s="9">
        <v>8.7999999999999998E-5</v>
      </c>
      <c r="H258" s="9">
        <v>2037.2750000000001</v>
      </c>
      <c r="I258" s="9">
        <v>2944.1320000000001</v>
      </c>
      <c r="J258" s="9">
        <v>0.25</v>
      </c>
    </row>
    <row r="259" spans="1:10" x14ac:dyDescent="0.45">
      <c r="A259" s="29" t="s">
        <v>32</v>
      </c>
      <c r="B259" s="60">
        <v>45809</v>
      </c>
      <c r="C259" s="29" t="s">
        <v>45</v>
      </c>
      <c r="D259" s="9">
        <v>1719473</v>
      </c>
      <c r="E259" s="9">
        <v>2396.806</v>
      </c>
      <c r="F259" s="9">
        <v>825.47139900000002</v>
      </c>
      <c r="G259" s="9">
        <v>0</v>
      </c>
      <c r="H259" s="9">
        <v>1643.9359999999999</v>
      </c>
      <c r="I259" s="9">
        <v>2616.4189999999999</v>
      </c>
      <c r="J259" s="9">
        <v>5.2599999999999999E-4</v>
      </c>
    </row>
    <row r="260" spans="1:10" x14ac:dyDescent="0.45">
      <c r="A260" s="29" t="s">
        <v>32</v>
      </c>
      <c r="B260" s="60">
        <v>45839</v>
      </c>
      <c r="C260" s="29" t="s">
        <v>44</v>
      </c>
      <c r="D260" s="9">
        <v>2304939</v>
      </c>
      <c r="E260" s="9">
        <v>2272.1779999999999</v>
      </c>
      <c r="F260" s="9">
        <v>732.81323299999997</v>
      </c>
      <c r="G260" s="9">
        <v>3.6999999999999998E-5</v>
      </c>
      <c r="H260" s="9">
        <v>2272.395</v>
      </c>
      <c r="I260" s="9">
        <v>2428.0050000000001</v>
      </c>
      <c r="J260" s="9">
        <v>3.9999999999999998E-6</v>
      </c>
    </row>
    <row r="261" spans="1:10" x14ac:dyDescent="0.45">
      <c r="A261" s="29" t="s">
        <v>32</v>
      </c>
      <c r="B261" s="60">
        <v>45870</v>
      </c>
      <c r="C261" s="29" t="s">
        <v>43</v>
      </c>
      <c r="D261" s="9">
        <v>2692460</v>
      </c>
      <c r="E261" s="9">
        <v>1861.021</v>
      </c>
      <c r="F261" s="9">
        <v>1890.9359959999999</v>
      </c>
      <c r="G261" s="9">
        <v>4.0000000000000003E-5</v>
      </c>
      <c r="H261" s="9">
        <v>3002.7930000000001</v>
      </c>
      <c r="I261" s="9">
        <v>1341.8040000000001</v>
      </c>
      <c r="J261" s="9">
        <v>2.0542280000000002</v>
      </c>
    </row>
    <row r="262" spans="1:10" x14ac:dyDescent="0.45">
      <c r="A262" s="29" t="s">
        <v>32</v>
      </c>
      <c r="B262" s="60">
        <v>45901</v>
      </c>
      <c r="C262" s="29" t="s">
        <v>42</v>
      </c>
      <c r="D262" s="9">
        <v>3230026</v>
      </c>
      <c r="E262" s="9">
        <v>1890.194</v>
      </c>
      <c r="F262" s="9">
        <v>2094.383613</v>
      </c>
      <c r="G262" s="9">
        <v>1.5999999999999999E-5</v>
      </c>
      <c r="H262" s="9">
        <v>3149.1619999999998</v>
      </c>
      <c r="I262" s="9">
        <v>2154.8629999999998</v>
      </c>
      <c r="J262" s="9">
        <v>7.1470130000000003</v>
      </c>
    </row>
    <row r="263" spans="1:10" x14ac:dyDescent="0.45">
      <c r="A263" s="29" t="s">
        <v>32</v>
      </c>
      <c r="B263" s="60">
        <v>45931</v>
      </c>
      <c r="C263" s="29" t="s">
        <v>41</v>
      </c>
      <c r="D263" s="9">
        <v>1964182</v>
      </c>
      <c r="E263" s="9">
        <v>1748.1310000000001</v>
      </c>
      <c r="F263" s="9">
        <v>1480.3831849999999</v>
      </c>
      <c r="G263" s="9">
        <v>0</v>
      </c>
      <c r="H263" s="9">
        <v>2529.8020000000001</v>
      </c>
      <c r="I263" s="9">
        <v>2852.2930000000001</v>
      </c>
      <c r="J263" s="9">
        <v>2.444639</v>
      </c>
    </row>
    <row r="264" spans="1:10" x14ac:dyDescent="0.45">
      <c r="A264" s="29" t="s">
        <v>32</v>
      </c>
      <c r="B264" s="60">
        <v>45962</v>
      </c>
      <c r="C264" s="29" t="s">
        <v>40</v>
      </c>
      <c r="D264" s="9">
        <v>1616514</v>
      </c>
      <c r="E264" s="9">
        <v>1079.585</v>
      </c>
      <c r="F264" s="9">
        <v>1076.258325</v>
      </c>
      <c r="G264" s="9">
        <v>116.160656</v>
      </c>
      <c r="H264" s="9">
        <v>2230.4270000000001</v>
      </c>
      <c r="I264" s="9">
        <v>2679.2449999999999</v>
      </c>
      <c r="J264" s="9">
        <v>2.4384839999999999</v>
      </c>
    </row>
    <row r="265" spans="1:10" x14ac:dyDescent="0.45">
      <c r="A265" s="29" t="s">
        <v>32</v>
      </c>
      <c r="B265" s="60">
        <v>45992</v>
      </c>
      <c r="C265" s="29" t="s">
        <v>39</v>
      </c>
      <c r="D265" s="9">
        <v>1900935</v>
      </c>
      <c r="E265" s="9">
        <v>2283.076</v>
      </c>
      <c r="F265" s="9">
        <v>586.34568999999999</v>
      </c>
      <c r="G265" s="9">
        <v>639.703575</v>
      </c>
      <c r="H265" s="9">
        <v>2246.692</v>
      </c>
      <c r="I265" s="9">
        <v>2889.9839999999999</v>
      </c>
      <c r="J265" s="9">
        <v>1.7402690000000001</v>
      </c>
    </row>
    <row r="266" spans="1:10" x14ac:dyDescent="0.45">
      <c r="A266" s="29" t="s">
        <v>32</v>
      </c>
      <c r="B266" s="60">
        <v>46023</v>
      </c>
      <c r="C266" s="29" t="s">
        <v>38</v>
      </c>
      <c r="D266" s="9">
        <v>1529337</v>
      </c>
      <c r="E266" s="9">
        <v>2600.1770000000001</v>
      </c>
      <c r="F266" s="9">
        <v>536.20427199999995</v>
      </c>
      <c r="G266" s="9">
        <v>370.58351599999997</v>
      </c>
      <c r="H266" s="9">
        <v>2184.0790000000002</v>
      </c>
      <c r="I266" s="9">
        <v>2303.0030000000002</v>
      </c>
      <c r="J266" s="9">
        <v>1.8118890000000001</v>
      </c>
    </row>
    <row r="267" spans="1:10" x14ac:dyDescent="0.45">
      <c r="A267" s="29" t="s">
        <v>32</v>
      </c>
      <c r="B267" s="60">
        <v>46054</v>
      </c>
      <c r="C267" s="29" t="s">
        <v>37</v>
      </c>
      <c r="D267" s="9">
        <v>1937521</v>
      </c>
      <c r="E267" s="9">
        <v>2110.0320000000002</v>
      </c>
      <c r="F267" s="9">
        <v>637.91715299999998</v>
      </c>
      <c r="G267" s="9">
        <v>226.706064</v>
      </c>
      <c r="H267" s="61"/>
      <c r="I267" s="9">
        <v>2092.7420000000002</v>
      </c>
      <c r="J267" s="29"/>
    </row>
    <row r="268" spans="1:10" x14ac:dyDescent="0.45">
      <c r="A268" s="29" t="s">
        <v>32</v>
      </c>
      <c r="B268" s="60">
        <v>46082</v>
      </c>
      <c r="C268" s="29" t="s">
        <v>36</v>
      </c>
      <c r="D268" s="29"/>
      <c r="E268" s="29"/>
      <c r="F268" s="9">
        <v>868.57358699999997</v>
      </c>
      <c r="G268" s="9">
        <v>447.38076100000001</v>
      </c>
      <c r="H268" s="61"/>
      <c r="I268" s="9"/>
      <c r="J268" s="29"/>
    </row>
    <row r="269" spans="1:10" x14ac:dyDescent="0.45">
      <c r="H269" s="59"/>
    </row>
    <row r="270" spans="1:10" x14ac:dyDescent="0.45">
      <c r="H270" s="59"/>
    </row>
    <row r="271" spans="1:10" x14ac:dyDescent="0.45">
      <c r="H271" s="59"/>
    </row>
    <row r="272" spans="1:10" x14ac:dyDescent="0.45">
      <c r="H272" s="59"/>
    </row>
    <row r="273" spans="8:8" x14ac:dyDescent="0.45">
      <c r="H273" s="59"/>
    </row>
    <row r="274" spans="8:8" x14ac:dyDescent="0.45">
      <c r="H274" s="59"/>
    </row>
    <row r="275" spans="8:8" x14ac:dyDescent="0.45">
      <c r="H275" s="59"/>
    </row>
    <row r="276" spans="8:8" x14ac:dyDescent="0.45">
      <c r="H276" s="59"/>
    </row>
    <row r="277" spans="8:8" x14ac:dyDescent="0.45">
      <c r="H277" s="5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db2c8-69c4-412b-9d44-16b2d9ce1096">
      <Terms xmlns="http://schemas.microsoft.com/office/infopath/2007/PartnerControls"/>
    </lcf76f155ced4ddcb4097134ff3c332f>
    <TaxCatchAll xmlns="2ae6f4a5-fc03-40a6-a6be-1c00f8eb750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0F3C6901D84A48B91A9B4E5E69DA02" ma:contentTypeVersion="33" ma:contentTypeDescription="Create a new document." ma:contentTypeScope="" ma:versionID="6ce5aaaf5c71f332bad539ea18ca4307">
  <xsd:schema xmlns:xsd="http://www.w3.org/2001/XMLSchema" xmlns:xs="http://www.w3.org/2001/XMLSchema" xmlns:p="http://schemas.microsoft.com/office/2006/metadata/properties" xmlns:ns2="1f7db2c8-69c4-412b-9d44-16b2d9ce1096" xmlns:ns3="2ae6f4a5-fc03-40a6-a6be-1c00f8eb7500" targetNamespace="http://schemas.microsoft.com/office/2006/metadata/properties" ma:root="true" ma:fieldsID="17518e73f766de7285d2370906e601ed" ns2:_="" ns3:_="">
    <xsd:import namespace="1f7db2c8-69c4-412b-9d44-16b2d9ce1096"/>
    <xsd:import namespace="2ae6f4a5-fc03-40a6-a6be-1c00f8eb75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db2c8-69c4-412b-9d44-16b2d9ce10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49ee0b0-24da-427d-9ee5-df4606d176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6f4a5-fc03-40a6-a6be-1c00f8eb750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0168fb6-03e7-4301-a1a4-001299ec3699}" ma:internalName="TaxCatchAll" ma:showField="CatchAllData" ma:web="2ae6f4a5-fc03-40a6-a6be-1c00f8eb75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5A3307-D43B-43BB-A585-E888C8EEC4B7}">
  <ds:schemaRefs>
    <ds:schemaRef ds:uri="http://schemas.microsoft.com/office/2006/metadata/properties"/>
    <ds:schemaRef ds:uri="http://schemas.microsoft.com/office/infopath/2007/PartnerControls"/>
    <ds:schemaRef ds:uri="1f7db2c8-69c4-412b-9d44-16b2d9ce1096"/>
    <ds:schemaRef ds:uri="2ae6f4a5-fc03-40a6-a6be-1c00f8eb7500"/>
  </ds:schemaRefs>
</ds:datastoreItem>
</file>

<file path=customXml/itemProps2.xml><?xml version="1.0" encoding="utf-8"?>
<ds:datastoreItem xmlns:ds="http://schemas.openxmlformats.org/officeDocument/2006/customXml" ds:itemID="{9FB39BE9-4E11-43E7-A2C6-BFBD52C59A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7db2c8-69c4-412b-9d44-16b2d9ce1096"/>
    <ds:schemaRef ds:uri="2ae6f4a5-fc03-40a6-a6be-1c00f8eb75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3D0501-7188-4B90-8B44-FD38FC936B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Corn</vt:lpstr>
      <vt:lpstr>Soybeans</vt:lpstr>
      <vt:lpstr>Meal</vt:lpstr>
      <vt:lpstr>Wheat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Kolten Postin</dc:creator>
  <cp:lastModifiedBy>Kolten Postin</cp:lastModifiedBy>
  <dcterms:created xsi:type="dcterms:W3CDTF">2026-04-16T00:07:06Z</dcterms:created>
  <dcterms:modified xsi:type="dcterms:W3CDTF">2026-04-18T16:45:56Z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policyId">
    <vt:lpwstr/>
  </property>
  <property fmtid="{D5CDD505-2E9C-101B-9397-08002B2CF9AE}" pid="3" name="MediaServiceImageTags">
    <vt:lpwstr/>
  </property>
  <property fmtid="{D5CDD505-2E9C-101B-9397-08002B2CF9AE}" pid="4" name="ContentTypeId">
    <vt:lpwstr>0x010100400F3C6901D84A48B91A9B4E5E69DA02</vt:lpwstr>
  </property>
  <property fmtid="{D5CDD505-2E9C-101B-9397-08002B2CF9AE}" pid="5" name="ItemRetentionFormula">
    <vt:lpwstr/>
  </property>
</Properties>
</file>