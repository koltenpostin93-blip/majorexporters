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psicom.sharepoint.com/sites/jsacore/Shared Documents/Research Analyst/Dashboards/Corn by Major Exports/"/>
    </mc:Choice>
  </mc:AlternateContent>
  <xr:revisionPtr revIDLastSave="30" documentId="8_{A7E760E1-8B0A-4518-BC31-E1FE9BCA3BE6}" xr6:coauthVersionLast="47" xr6:coauthVersionMax="47" xr10:uidLastSave="{CE7462E0-F4E6-42F9-A9D9-B1826288B123}"/>
  <bookViews>
    <workbookView xWindow="-120" yWindow="-120" windowWidth="29040" windowHeight="15720" activeTab="1" xr2:uid="{2A8B819C-35FF-45E7-A267-117D499C3FAA}"/>
  </bookViews>
  <sheets>
    <sheet name="Corn" sheetId="1" r:id="rId1"/>
    <sheet name="Soybeans" sheetId="2" r:id="rId2"/>
  </sheets>
  <definedNames>
    <definedName name="_xlnm._FilterDatabase" localSheetId="1" hidden="1">Soybeans!$A$1:$G$1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9" i="2" l="1"/>
  <c r="G139" i="2"/>
  <c r="H138" i="2"/>
  <c r="G138" i="2"/>
  <c r="H137" i="2"/>
  <c r="G137" i="2"/>
  <c r="H136" i="2"/>
  <c r="G136" i="2"/>
  <c r="H135" i="2"/>
  <c r="G135" i="2"/>
  <c r="H134" i="2"/>
  <c r="G134" i="2"/>
  <c r="H133" i="2"/>
  <c r="G133" i="2"/>
  <c r="H132" i="2"/>
  <c r="G132" i="2"/>
  <c r="H131" i="2"/>
  <c r="G131" i="2"/>
  <c r="H130" i="2"/>
  <c r="G130" i="2"/>
  <c r="H129" i="2"/>
  <c r="G129" i="2"/>
  <c r="H128" i="2"/>
  <c r="G128" i="2"/>
  <c r="H127" i="2"/>
  <c r="G127" i="2"/>
  <c r="H126" i="2"/>
  <c r="G126" i="2"/>
  <c r="H125" i="2"/>
  <c r="G125" i="2"/>
  <c r="H124" i="2"/>
  <c r="G124" i="2"/>
  <c r="H123" i="2"/>
  <c r="G123" i="2"/>
  <c r="H122" i="2"/>
  <c r="G122" i="2"/>
  <c r="H121" i="2"/>
  <c r="G121" i="2"/>
  <c r="H120" i="2"/>
  <c r="G120" i="2"/>
  <c r="H119" i="2"/>
  <c r="G119" i="2"/>
  <c r="H118" i="2"/>
  <c r="G118" i="2"/>
  <c r="H117" i="2"/>
  <c r="G117" i="2"/>
  <c r="H116" i="2"/>
  <c r="G116" i="2"/>
  <c r="H115" i="2"/>
  <c r="G115" i="2"/>
  <c r="H114" i="2"/>
  <c r="G114" i="2"/>
  <c r="H113" i="2"/>
  <c r="G113" i="2"/>
  <c r="H112" i="2"/>
  <c r="G112" i="2"/>
  <c r="H111" i="2"/>
  <c r="G111" i="2"/>
  <c r="H110" i="2"/>
  <c r="G110" i="2"/>
  <c r="H109" i="2"/>
  <c r="G109" i="2"/>
  <c r="H108" i="2"/>
  <c r="G108" i="2"/>
  <c r="H107" i="2"/>
  <c r="G107" i="2"/>
  <c r="H106" i="2"/>
  <c r="G106" i="2"/>
  <c r="H105" i="2"/>
  <c r="G105" i="2"/>
  <c r="H104" i="2"/>
  <c r="G104" i="2"/>
  <c r="H103" i="2"/>
  <c r="G103" i="2"/>
  <c r="H102" i="2"/>
  <c r="G102" i="2"/>
  <c r="H101" i="2"/>
  <c r="G101" i="2"/>
  <c r="H100" i="2"/>
  <c r="G100" i="2"/>
  <c r="H99" i="2"/>
  <c r="G99" i="2"/>
  <c r="H98" i="2"/>
  <c r="G98" i="2"/>
  <c r="H97" i="2"/>
  <c r="G97" i="2"/>
  <c r="H96" i="2"/>
  <c r="G96" i="2"/>
  <c r="H95" i="2"/>
  <c r="G95" i="2"/>
  <c r="H94" i="2"/>
  <c r="G94" i="2"/>
  <c r="H93" i="2"/>
  <c r="G93" i="2"/>
  <c r="H92" i="2"/>
  <c r="G92" i="2"/>
  <c r="H91" i="2"/>
  <c r="G91" i="2"/>
  <c r="H90" i="2"/>
  <c r="G90" i="2"/>
  <c r="H89" i="2"/>
  <c r="G89" i="2"/>
  <c r="H88" i="2"/>
  <c r="G88" i="2"/>
  <c r="H87" i="2"/>
  <c r="G87" i="2"/>
  <c r="H86" i="2"/>
  <c r="G86" i="2"/>
  <c r="H85" i="2"/>
  <c r="G85" i="2"/>
  <c r="H84" i="2"/>
  <c r="G84" i="2"/>
  <c r="H83" i="2"/>
  <c r="G83" i="2"/>
  <c r="H82" i="2"/>
  <c r="G82" i="2"/>
  <c r="H81" i="2"/>
  <c r="G81" i="2"/>
  <c r="H80" i="2"/>
  <c r="G80" i="2"/>
  <c r="H79" i="2"/>
  <c r="G79" i="2"/>
  <c r="H78" i="2"/>
  <c r="G78" i="2"/>
  <c r="H77" i="2"/>
  <c r="G77" i="2"/>
  <c r="H76" i="2"/>
  <c r="G76" i="2"/>
  <c r="H75" i="2"/>
  <c r="G75" i="2"/>
  <c r="H74" i="2"/>
  <c r="G74" i="2"/>
  <c r="H73" i="2"/>
  <c r="G73" i="2"/>
  <c r="H72" i="2"/>
  <c r="G72" i="2"/>
  <c r="H71" i="2"/>
  <c r="G71" i="2"/>
  <c r="H70" i="2"/>
  <c r="G70" i="2"/>
  <c r="H69" i="2"/>
  <c r="G69" i="2"/>
  <c r="H68" i="2"/>
  <c r="G68" i="2"/>
  <c r="H67" i="2"/>
  <c r="G67" i="2"/>
  <c r="H66" i="2"/>
  <c r="G66" i="2"/>
  <c r="H65" i="2"/>
  <c r="G65" i="2"/>
  <c r="H64" i="2"/>
  <c r="G64" i="2"/>
  <c r="H63" i="2"/>
  <c r="G63" i="2"/>
  <c r="H62" i="2"/>
  <c r="G62" i="2"/>
  <c r="H61" i="2"/>
  <c r="G61" i="2"/>
  <c r="H60" i="2"/>
  <c r="G60" i="2"/>
  <c r="H59" i="2"/>
  <c r="G59" i="2"/>
  <c r="H58" i="2"/>
  <c r="G58" i="2"/>
  <c r="H57" i="2"/>
  <c r="G57" i="2"/>
  <c r="H56" i="2"/>
  <c r="G56" i="2"/>
  <c r="H55" i="2"/>
  <c r="G55" i="2"/>
  <c r="H54" i="2"/>
  <c r="G54" i="2"/>
  <c r="H53" i="2"/>
  <c r="G53" i="2"/>
  <c r="H52" i="2"/>
  <c r="G52" i="2"/>
  <c r="H51" i="2"/>
  <c r="G51" i="2"/>
  <c r="H50" i="2"/>
  <c r="G50" i="2"/>
  <c r="H49" i="2"/>
  <c r="G49" i="2"/>
  <c r="H48" i="2"/>
  <c r="G48" i="2"/>
  <c r="H47" i="2"/>
  <c r="G47" i="2"/>
  <c r="H46" i="2"/>
  <c r="G46" i="2"/>
  <c r="H45" i="2"/>
  <c r="G45" i="2"/>
  <c r="H44" i="2"/>
  <c r="G44" i="2"/>
  <c r="H43" i="2"/>
  <c r="G43" i="2"/>
  <c r="H42" i="2"/>
  <c r="G42" i="2"/>
  <c r="H41" i="2"/>
  <c r="G41" i="2"/>
  <c r="H40" i="2"/>
  <c r="G40" i="2"/>
  <c r="H39" i="2"/>
  <c r="G39" i="2"/>
  <c r="H38" i="2"/>
  <c r="G38" i="2"/>
  <c r="H37" i="2"/>
  <c r="G37" i="2"/>
  <c r="H36" i="2"/>
  <c r="G36" i="2"/>
  <c r="H35" i="2"/>
  <c r="G35" i="2"/>
  <c r="H34" i="2"/>
  <c r="G34" i="2"/>
  <c r="H33" i="2"/>
  <c r="G33" i="2"/>
  <c r="H32" i="2"/>
  <c r="G32" i="2"/>
  <c r="H31" i="2"/>
  <c r="G31" i="2"/>
  <c r="H30" i="2"/>
  <c r="G30" i="2"/>
  <c r="H29" i="2"/>
  <c r="G29" i="2"/>
  <c r="H28" i="2"/>
  <c r="G28" i="2"/>
  <c r="H27" i="2"/>
  <c r="G27" i="2"/>
  <c r="H26" i="2"/>
  <c r="G26" i="2"/>
  <c r="H25" i="2"/>
  <c r="G25" i="2"/>
  <c r="H24" i="2"/>
  <c r="G24" i="2"/>
  <c r="H23" i="2"/>
  <c r="G23" i="2"/>
  <c r="H22" i="2"/>
  <c r="G22" i="2"/>
  <c r="H21" i="2"/>
  <c r="G21" i="2"/>
  <c r="H20" i="2"/>
  <c r="G20" i="2"/>
  <c r="H19" i="2"/>
  <c r="G19" i="2"/>
  <c r="H18" i="2"/>
  <c r="G18" i="2"/>
  <c r="H17" i="2"/>
  <c r="G17" i="2"/>
  <c r="H16" i="2"/>
  <c r="G16" i="2"/>
  <c r="H15" i="2"/>
  <c r="G15" i="2"/>
  <c r="H14" i="2"/>
  <c r="G14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I138" i="1" l="1"/>
  <c r="H138" i="1"/>
  <c r="I137" i="1"/>
  <c r="H137" i="1"/>
  <c r="I136" i="1"/>
  <c r="H136" i="1"/>
  <c r="I135" i="1"/>
  <c r="H135" i="1"/>
  <c r="I134" i="1"/>
  <c r="H134" i="1"/>
  <c r="I133" i="1"/>
  <c r="H133" i="1"/>
  <c r="I132" i="1"/>
  <c r="H132" i="1"/>
  <c r="I131" i="1"/>
  <c r="H131" i="1"/>
  <c r="I130" i="1"/>
  <c r="H130" i="1"/>
  <c r="I129" i="1"/>
  <c r="H129" i="1"/>
  <c r="I128" i="1"/>
  <c r="H128" i="1"/>
  <c r="I127" i="1"/>
  <c r="H127" i="1"/>
  <c r="I126" i="1"/>
  <c r="H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</calcChain>
</file>

<file path=xl/sharedStrings.xml><?xml version="1.0" encoding="utf-8"?>
<sst xmlns="http://schemas.openxmlformats.org/spreadsheetml/2006/main" count="580" uniqueCount="34">
  <si>
    <t>Market Year</t>
  </si>
  <si>
    <t>Date</t>
  </si>
  <si>
    <t>Month</t>
  </si>
  <si>
    <t>US</t>
  </si>
  <si>
    <t>Brazil</t>
  </si>
  <si>
    <t>Argentina</t>
  </si>
  <si>
    <t>Ukraine</t>
  </si>
  <si>
    <t>Total Non US</t>
  </si>
  <si>
    <t>Major Expoter</t>
  </si>
  <si>
    <t>2014/15</t>
  </si>
  <si>
    <t>Oct</t>
  </si>
  <si>
    <t>Nov</t>
  </si>
  <si>
    <t>Dec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</si>
  <si>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</si>
  <si>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</si>
  <si>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</si>
  <si>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</si>
  <si>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</si>
  <si>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</si>
  <si>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</si>
  <si>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</si>
  <si>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</si>
  <si>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2015/16</t>
  </si>
  <si>
    <t>2016/17</t>
  </si>
  <si>
    <t>2017/18</t>
  </si>
  <si>
    <t>2018/19</t>
  </si>
  <si>
    <t>2019/20</t>
  </si>
  <si>
    <t>2020/21</t>
  </si>
  <si>
    <t>2021/22</t>
  </si>
  <si>
    <t>2022/23</t>
  </si>
  <si>
    <t>2023/24</t>
  </si>
  <si>
    <t>2024/25</t>
  </si>
  <si>
    <t>2025/26</t>
  </si>
  <si>
    <t>China Imports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</si>
</sst>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2"/>
      <color theme="1"/>
      <name val="Calibri"/>
      <family val="2"/>
    </font>
    <font>
      <b/>
      <sz val="16"/>
      <color rgb="FF404040"/>
      <name val="Calibri"/>
      <family val="2"/>
    </font>
    <font>
      <b/>
      <sz val="14"/>
      <color rgb="FF404040"/>
      <name val="Calibri"/>
      <family val="2"/>
    </font>
    <font>
      <sz val="12"/>
      <color rgb="FF404040"/>
      <name val="Calibri"/>
      <family val="2"/>
    </font>
    <font>
      <sz val="12"/>
      <color theme="1"/>
      <name val="Aptos Narrow"/>
      <family val="2"/>
      <scheme val="minor"/>
    </font>
    <font>
      <i/>
      <sz val="12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7F7F7F"/>
      </left>
      <right/>
      <top/>
      <bottom style="thin">
        <color rgb="FF7F7F7F"/>
      </bottom>
      <diagonal/>
    </border>
    <border>
      <left/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 style="thin">
        <color auto="1"/>
      </right>
      <top style="thin">
        <color auto="1"/>
      </top>
      <bottom/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3" fillId="3" borderId="1" applyNumberFormat="0" applyAlignment="0" applyProtection="0"/>
    <xf numFmtId="0" fontId="8" fillId="0" borderId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57">
    <xf numFmtId="0" fontId="0" fillId="0" borderId="0" xfId="0"/>
    <xf numFmtId="0" fontId="0" fillId="0" borderId="2" xfId="0" applyBorder="1" applyAlignment="1">
      <alignment horizontal="center"/>
    </xf>
    <xf numFmtId="0" fontId="4" fillId="0" borderId="2" xfId="0" applyFont="1" applyBorder="1" applyAlignment="1">
      <alignment horizontal="right"/>
    </xf>
    <xf numFmtId="3" fontId="5" fillId="0" borderId="2" xfId="0" applyNumberFormat="1" applyFont="1" applyBorder="1" applyAlignment="1">
      <alignment horizontal="center" vertical="top" wrapText="1"/>
    </xf>
    <xf numFmtId="3" fontId="6" fillId="0" borderId="2" xfId="0" applyNumberFormat="1" applyFont="1" applyBorder="1" applyAlignment="1">
      <alignment horizontal="center" vertical="top" wrapText="1"/>
    </xf>
    <xf numFmtId="3" fontId="5" fillId="0" borderId="3" xfId="0" applyNumberFormat="1" applyFont="1" applyBorder="1" applyAlignment="1">
      <alignment horizontal="center" vertical="top" wrapText="1"/>
    </xf>
    <xf numFmtId="17" fontId="4" fillId="0" borderId="2" xfId="0" applyNumberFormat="1" applyFont="1" applyBorder="1" applyAlignment="1">
      <alignment horizontal="right"/>
    </xf>
    <xf numFmtId="3" fontId="0" fillId="0" borderId="2" xfId="0" applyNumberFormat="1" applyBorder="1"/>
    <xf numFmtId="3" fontId="7" fillId="0" borderId="2" xfId="0" applyNumberFormat="1" applyFont="1" applyBorder="1" applyAlignment="1">
      <alignment horizontal="right" vertical="top" wrapText="1"/>
    </xf>
    <xf numFmtId="164" fontId="0" fillId="0" borderId="2" xfId="1" applyNumberFormat="1" applyFont="1" applyBorder="1"/>
    <xf numFmtId="164" fontId="7" fillId="0" borderId="2" xfId="1" applyNumberFormat="1" applyFont="1" applyBorder="1" applyAlignment="1">
      <alignment horizontal="right" vertical="top" wrapText="1"/>
    </xf>
    <xf numFmtId="164" fontId="4" fillId="0" borderId="4" xfId="1" applyNumberFormat="1" applyFont="1" applyBorder="1" applyAlignment="1">
      <alignment horizontal="right" wrapText="1"/>
    </xf>
    <xf numFmtId="164" fontId="4" fillId="0" borderId="4" xfId="1" applyNumberFormat="1" applyFont="1" applyBorder="1" applyAlignment="1">
      <alignment horizontal="right"/>
    </xf>
    <xf numFmtId="164" fontId="4" fillId="0" borderId="2" xfId="1" applyNumberFormat="1" applyFont="1" applyBorder="1" applyAlignment="1">
      <alignment horizontal="right" wrapText="1"/>
    </xf>
    <xf numFmtId="164" fontId="4" fillId="0" borderId="2" xfId="1" applyNumberFormat="1" applyFont="1" applyBorder="1" applyAlignment="1">
      <alignment horizontal="right"/>
    </xf>
    <xf numFmtId="0" fontId="4" fillId="0" borderId="2" xfId="0" applyFont="1" applyBorder="1" applyAlignment="1">
      <alignment horizontal="center"/>
    </xf>
    <xf numFmtId="17" fontId="4" fillId="0" borderId="5" xfId="0" applyNumberFormat="1" applyFont="1" applyBorder="1" applyAlignment="1">
      <alignment horizontal="right"/>
    </xf>
    <xf numFmtId="164" fontId="4" fillId="0" borderId="6" xfId="1" applyNumberFormat="1" applyFont="1" applyBorder="1" applyAlignment="1">
      <alignment horizontal="right"/>
    </xf>
    <xf numFmtId="164" fontId="0" fillId="0" borderId="0" xfId="1" applyNumberFormat="1" applyFont="1"/>
    <xf numFmtId="164" fontId="0" fillId="0" borderId="2" xfId="1" applyNumberFormat="1" applyFont="1" applyBorder="1" applyAlignment="1">
      <alignment horizontal="right"/>
    </xf>
    <xf numFmtId="164" fontId="3" fillId="3" borderId="7" xfId="3" applyNumberFormat="1" applyBorder="1"/>
    <xf numFmtId="3" fontId="3" fillId="3" borderId="8" xfId="3" applyNumberFormat="1" applyBorder="1"/>
    <xf numFmtId="164" fontId="3" fillId="3" borderId="1" xfId="3" applyNumberFormat="1"/>
    <xf numFmtId="164" fontId="3" fillId="3" borderId="9" xfId="3" applyNumberFormat="1" applyBorder="1" applyAlignment="1">
      <alignment horizontal="right"/>
    </xf>
    <xf numFmtId="3" fontId="3" fillId="3" borderId="1" xfId="3" applyNumberFormat="1"/>
    <xf numFmtId="164" fontId="2" fillId="2" borderId="2" xfId="2" applyNumberFormat="1" applyBorder="1"/>
    <xf numFmtId="164" fontId="3" fillId="3" borderId="10" xfId="3" applyNumberFormat="1" applyBorder="1"/>
    <xf numFmtId="164" fontId="3" fillId="3" borderId="9" xfId="3" applyNumberFormat="1" applyBorder="1"/>
    <xf numFmtId="164" fontId="3" fillId="3" borderId="1" xfId="3" applyNumberFormat="1" applyAlignment="1">
      <alignment horizontal="right"/>
    </xf>
    <xf numFmtId="0" fontId="0" fillId="0" borderId="2" xfId="0" applyBorder="1"/>
    <xf numFmtId="0" fontId="8" fillId="0" borderId="2" xfId="4" applyBorder="1" applyAlignment="1">
      <alignment horizontal="center"/>
    </xf>
    <xf numFmtId="0" fontId="4" fillId="0" borderId="2" xfId="4" applyFont="1" applyBorder="1" applyAlignment="1">
      <alignment horizontal="right"/>
    </xf>
    <xf numFmtId="3" fontId="5" fillId="0" borderId="2" xfId="4" applyNumberFormat="1" applyFont="1" applyBorder="1" applyAlignment="1">
      <alignment horizontal="center" vertical="top" wrapText="1"/>
    </xf>
    <xf numFmtId="3" fontId="6" fillId="0" borderId="2" xfId="4" applyNumberFormat="1" applyFont="1" applyBorder="1" applyAlignment="1">
      <alignment horizontal="center" vertical="top" wrapText="1"/>
    </xf>
    <xf numFmtId="3" fontId="5" fillId="0" borderId="3" xfId="4" applyNumberFormat="1" applyFont="1" applyBorder="1" applyAlignment="1">
      <alignment horizontal="center" vertical="top" wrapText="1"/>
    </xf>
    <xf numFmtId="3" fontId="5" fillId="0" borderId="0" xfId="4" applyNumberFormat="1" applyFont="1" applyAlignment="1">
      <alignment horizontal="center" vertical="top" wrapText="1"/>
    </xf>
    <xf numFmtId="0" fontId="8" fillId="0" borderId="0" xfId="4"/>
    <xf numFmtId="17" fontId="4" fillId="0" borderId="2" xfId="4" applyNumberFormat="1" applyFont="1" applyBorder="1" applyAlignment="1">
      <alignment horizontal="right"/>
    </xf>
    <xf numFmtId="3" fontId="8" fillId="0" borderId="2" xfId="4" applyNumberFormat="1" applyBorder="1"/>
    <xf numFmtId="164" fontId="0" fillId="0" borderId="2" xfId="5" applyNumberFormat="1" applyFont="1" applyBorder="1"/>
    <xf numFmtId="3" fontId="7" fillId="0" borderId="2" xfId="4" applyNumberFormat="1" applyFont="1" applyBorder="1" applyAlignment="1">
      <alignment horizontal="right" vertical="top" wrapText="1"/>
    </xf>
    <xf numFmtId="3" fontId="8" fillId="0" borderId="0" xfId="4" applyNumberFormat="1"/>
    <xf numFmtId="0" fontId="8" fillId="0" borderId="2" xfId="4" applyBorder="1" applyAlignment="1">
      <alignment horizontal="center" vertical="center"/>
    </xf>
    <xf numFmtId="17" fontId="4" fillId="0" borderId="2" xfId="4" applyNumberFormat="1" applyFont="1" applyBorder="1" applyAlignment="1">
      <alignment horizontal="right" vertical="center"/>
    </xf>
    <xf numFmtId="3" fontId="8" fillId="0" borderId="2" xfId="4" applyNumberFormat="1" applyBorder="1" applyAlignment="1">
      <alignment vertical="center"/>
    </xf>
    <xf numFmtId="3" fontId="7" fillId="0" borderId="2" xfId="4" applyNumberFormat="1" applyFont="1" applyBorder="1" applyAlignment="1">
      <alignment horizontal="right" vertical="center" wrapText="1"/>
    </xf>
    <xf numFmtId="3" fontId="8" fillId="0" borderId="0" xfId="4" applyNumberFormat="1" applyAlignment="1">
      <alignment vertical="center"/>
    </xf>
    <xf numFmtId="3" fontId="7" fillId="0" borderId="4" xfId="4" applyNumberFormat="1" applyFont="1" applyBorder="1" applyAlignment="1">
      <alignment horizontal="right" vertical="top" wrapText="1"/>
    </xf>
    <xf numFmtId="164" fontId="7" fillId="0" borderId="4" xfId="5" applyNumberFormat="1" applyFont="1" applyBorder="1" applyAlignment="1">
      <alignment horizontal="right" vertical="top" wrapText="1"/>
    </xf>
    <xf numFmtId="164" fontId="4" fillId="0" borderId="4" xfId="5" applyNumberFormat="1" applyFont="1" applyBorder="1" applyAlignment="1">
      <alignment horizontal="right" wrapText="1"/>
    </xf>
    <xf numFmtId="164" fontId="4" fillId="0" borderId="4" xfId="5" applyNumberFormat="1" applyFont="1" applyBorder="1" applyAlignment="1">
      <alignment horizontal="right"/>
    </xf>
    <xf numFmtId="164" fontId="4" fillId="0" borderId="2" xfId="5" applyNumberFormat="1" applyFont="1" applyBorder="1" applyAlignment="1">
      <alignment horizontal="right"/>
    </xf>
    <xf numFmtId="0" fontId="4" fillId="0" borderId="2" xfId="4" applyFont="1" applyBorder="1" applyAlignment="1">
      <alignment horizontal="center"/>
    </xf>
    <xf numFmtId="164" fontId="4" fillId="0" borderId="6" xfId="5" applyNumberFormat="1" applyFont="1" applyBorder="1" applyAlignment="1">
      <alignment horizontal="right"/>
    </xf>
    <xf numFmtId="164" fontId="4" fillId="0" borderId="11" xfId="5" applyNumberFormat="1" applyFont="1" applyBorder="1" applyAlignment="1">
      <alignment horizontal="right"/>
    </xf>
    <xf numFmtId="17" fontId="4" fillId="0" borderId="5" xfId="4" applyNumberFormat="1" applyFont="1" applyBorder="1" applyAlignment="1">
      <alignment horizontal="right"/>
    </xf>
    <xf numFmtId="164" fontId="9" fillId="0" borderId="2" xfId="5" applyNumberFormat="1" applyFont="1" applyBorder="1"/>
  </cellXfs>
  <cellStyles count="7">
    <cellStyle name="Calculation" xfId="3" builtinId="22"/>
    <cellStyle name="Comma" xfId="1" builtinId="3"/>
    <cellStyle name="Comma 3" xfId="5" xr:uid="{24EAE314-C4BC-4801-AA7F-EC0267E79988}"/>
    <cellStyle name="Neutral" xfId="2" builtinId="28"/>
    <cellStyle name="Normal" xfId="0" builtinId="0"/>
    <cellStyle name="Normal 3" xfId="4" xr:uid="{16ECE651-C18B-4FBE-AEDA-E2FA27D96A7E}"/>
    <cellStyle name="Percent 3" xfId="6" xr:uid="{B160431B-1844-4717-A10B-B2BDC1FA398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36E87-5AA1-4EB6-B35E-F89BE8CD2C2E}">
  <dimension ref="A1:I143"/>
  <sheetViews>
    <sheetView workbookViewId="0">
      <selection activeCell="K23" sqref="K23"/>
    </sheetView>
  </sheetViews>
  <sheetFormatPr defaultRowHeight="14.25" x14ac:dyDescent="0.45"/>
  <cols>
    <col min="6" max="6" width="14.796875" customWidth="1"/>
    <col min="7" max="7" width="13.3984375" customWidth="1"/>
    <col min="9" max="9" width="12.1328125" customWidth="1"/>
  </cols>
  <sheetData>
    <row r="1" spans="1:9" ht="42" x14ac:dyDescent="0.5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</row>
    <row r="2" spans="1:9" ht="15.75" x14ac:dyDescent="0.5">
      <c r="A2" s="1" t="s">
        <v>9</v>
      </c>
      <c r="B2" s="6">
        <v>41913</v>
      </c>
      <c r="C2" s="6" t="s">
        <v>10</v>
      </c>
      <c r="D2" s="7">
        <v>3807.1460000000002</v>
      </c>
      <c r="E2" s="8">
        <v>3178</v>
      </c>
      <c r="F2" s="8">
        <v>1818</v>
      </c>
      <c r="G2" s="8">
        <v>1275</v>
      </c>
      <c r="H2" s="8">
        <v>6271</v>
      </c>
      <c r="I2" s="7">
        <f>D2+E2+F2+G2</f>
        <v>10078.146000000001</v>
      </c>
    </row>
    <row r="3" spans="1:9" ht="15.75" x14ac:dyDescent="0.5">
      <c r="A3" s="1" t="s">
        <v>9</v>
      </c>
      <c r="B3" s="6">
        <v>41944</v>
      </c>
      <c r="C3" s="6" t="s">
        <v>11</v>
      </c>
      <c r="D3" s="7">
        <v>2413.3690000000001</v>
      </c>
      <c r="E3" s="8">
        <v>2979</v>
      </c>
      <c r="F3" s="8">
        <v>1050</v>
      </c>
      <c r="G3" s="8">
        <v>2223</v>
      </c>
      <c r="H3" s="8">
        <v>6252</v>
      </c>
      <c r="I3" s="7">
        <f t="shared" ref="I3:I66" si="0">D3+E3+F3+G3</f>
        <v>8665.3690000000006</v>
      </c>
    </row>
    <row r="4" spans="1:9" ht="15.75" x14ac:dyDescent="0.5">
      <c r="A4" s="1" t="s">
        <v>9</v>
      </c>
      <c r="B4" s="6">
        <v>41974</v>
      </c>
      <c r="C4" s="6" t="s">
        <v>12</v>
      </c>
      <c r="D4" s="7">
        <v>2990.2109999999998</v>
      </c>
      <c r="E4" s="8">
        <v>3405</v>
      </c>
      <c r="F4" s="8">
        <v>853</v>
      </c>
      <c r="G4" s="8">
        <v>2684</v>
      </c>
      <c r="H4" s="8">
        <v>6942</v>
      </c>
      <c r="I4" s="7">
        <f t="shared" si="0"/>
        <v>9932.2109999999993</v>
      </c>
    </row>
    <row r="5" spans="1:9" ht="15.75" x14ac:dyDescent="0.5">
      <c r="A5" s="1" t="s">
        <v>9</v>
      </c>
      <c r="B5" s="6">
        <v>42005</v>
      </c>
      <c r="C5" s="6" t="s">
        <v>13</v>
      </c>
      <c r="D5" s="7">
        <v>3221.6619999999998</v>
      </c>
      <c r="E5" s="8">
        <v>3195</v>
      </c>
      <c r="F5" s="8">
        <v>866</v>
      </c>
      <c r="G5" s="8">
        <v>1895</v>
      </c>
      <c r="H5" s="8">
        <v>5956</v>
      </c>
      <c r="I5" s="7">
        <f t="shared" si="0"/>
        <v>9177.6620000000003</v>
      </c>
    </row>
    <row r="6" spans="1:9" ht="15.75" x14ac:dyDescent="0.5">
      <c r="A6" s="1" t="s">
        <v>9</v>
      </c>
      <c r="B6" s="6">
        <v>42036</v>
      </c>
      <c r="C6" s="6" t="s">
        <v>14</v>
      </c>
      <c r="D6" s="7">
        <v>3914.5129999999999</v>
      </c>
      <c r="E6" s="8">
        <v>1105</v>
      </c>
      <c r="F6" s="8">
        <v>706</v>
      </c>
      <c r="G6" s="8">
        <v>2215</v>
      </c>
      <c r="H6" s="8">
        <v>4026</v>
      </c>
      <c r="I6" s="7">
        <f t="shared" si="0"/>
        <v>7940.5129999999999</v>
      </c>
    </row>
    <row r="7" spans="1:9" ht="15.75" x14ac:dyDescent="0.5">
      <c r="A7" s="1" t="s">
        <v>9</v>
      </c>
      <c r="B7" s="6">
        <v>42064</v>
      </c>
      <c r="C7" s="6" t="s">
        <v>15</v>
      </c>
      <c r="D7" s="7">
        <v>3981.8139999999999</v>
      </c>
      <c r="E7" s="8">
        <v>675</v>
      </c>
      <c r="F7" s="8">
        <v>1879</v>
      </c>
      <c r="G7" s="8">
        <v>1834</v>
      </c>
      <c r="H7" s="8">
        <v>4388</v>
      </c>
      <c r="I7" s="7">
        <f t="shared" si="0"/>
        <v>8369.8140000000003</v>
      </c>
    </row>
    <row r="8" spans="1:9" ht="15.75" x14ac:dyDescent="0.5">
      <c r="A8" s="1" t="s">
        <v>9</v>
      </c>
      <c r="B8" s="6">
        <v>42095</v>
      </c>
      <c r="C8" s="6" t="s">
        <v>16</v>
      </c>
      <c r="D8" s="7">
        <v>4870.8069999999998</v>
      </c>
      <c r="E8" s="8">
        <v>159</v>
      </c>
      <c r="F8" s="8">
        <v>2430</v>
      </c>
      <c r="G8" s="8">
        <v>2018</v>
      </c>
      <c r="H8" s="8">
        <v>4607</v>
      </c>
      <c r="I8" s="7">
        <f t="shared" si="0"/>
        <v>9477.8070000000007</v>
      </c>
    </row>
    <row r="9" spans="1:9" ht="15.75" x14ac:dyDescent="0.5">
      <c r="A9" s="1" t="s">
        <v>9</v>
      </c>
      <c r="B9" s="6">
        <v>42125</v>
      </c>
      <c r="C9" s="6" t="s">
        <v>17</v>
      </c>
      <c r="D9" s="7">
        <v>4843.3119999999999</v>
      </c>
      <c r="E9" s="8">
        <v>39</v>
      </c>
      <c r="F9" s="8">
        <v>1689</v>
      </c>
      <c r="G9" s="8">
        <v>2077</v>
      </c>
      <c r="H9" s="8">
        <v>3805</v>
      </c>
      <c r="I9" s="7">
        <f t="shared" si="0"/>
        <v>8648.3119999999999</v>
      </c>
    </row>
    <row r="10" spans="1:9" ht="15.75" x14ac:dyDescent="0.5">
      <c r="A10" s="1" t="s">
        <v>9</v>
      </c>
      <c r="B10" s="6">
        <v>42156</v>
      </c>
      <c r="C10" s="6" t="s">
        <v>18</v>
      </c>
      <c r="D10" s="7">
        <v>4244.8209999999999</v>
      </c>
      <c r="E10" s="8">
        <v>137</v>
      </c>
      <c r="F10" s="8">
        <v>2252</v>
      </c>
      <c r="G10" s="8">
        <v>1977</v>
      </c>
      <c r="H10" s="8">
        <v>4366</v>
      </c>
      <c r="I10" s="7">
        <f t="shared" si="0"/>
        <v>8610.8209999999999</v>
      </c>
    </row>
    <row r="11" spans="1:9" ht="15.75" x14ac:dyDescent="0.5">
      <c r="A11" s="1" t="s">
        <v>9</v>
      </c>
      <c r="B11" s="6">
        <v>42186</v>
      </c>
      <c r="C11" s="6" t="s">
        <v>19</v>
      </c>
      <c r="D11" s="7">
        <v>5082.9369999999999</v>
      </c>
      <c r="E11" s="8">
        <v>1280</v>
      </c>
      <c r="F11" s="8">
        <v>1972</v>
      </c>
      <c r="G11" s="8">
        <v>999</v>
      </c>
      <c r="H11" s="8">
        <v>4251</v>
      </c>
      <c r="I11" s="7">
        <f t="shared" si="0"/>
        <v>9333.9369999999999</v>
      </c>
    </row>
    <row r="12" spans="1:9" ht="15.75" x14ac:dyDescent="0.5">
      <c r="A12" s="1" t="s">
        <v>9</v>
      </c>
      <c r="B12" s="6">
        <v>42217</v>
      </c>
      <c r="C12" s="6" t="s">
        <v>20</v>
      </c>
      <c r="D12" s="7">
        <v>4022.37</v>
      </c>
      <c r="E12" s="8">
        <v>2284</v>
      </c>
      <c r="F12" s="8">
        <v>1511</v>
      </c>
      <c r="G12" s="8">
        <v>309</v>
      </c>
      <c r="H12" s="8">
        <v>4104</v>
      </c>
      <c r="I12" s="7">
        <f t="shared" si="0"/>
        <v>8126.37</v>
      </c>
    </row>
    <row r="13" spans="1:9" ht="15.75" x14ac:dyDescent="0.5">
      <c r="A13" s="1" t="s">
        <v>9</v>
      </c>
      <c r="B13" s="6">
        <v>42248</v>
      </c>
      <c r="C13" s="6" t="s">
        <v>21</v>
      </c>
      <c r="D13" s="7">
        <v>3364.91</v>
      </c>
      <c r="E13" s="8">
        <v>3455</v>
      </c>
      <c r="F13" s="8">
        <v>1407</v>
      </c>
      <c r="G13" s="8">
        <v>150</v>
      </c>
      <c r="H13" s="8">
        <v>5012</v>
      </c>
      <c r="I13" s="7">
        <f t="shared" si="0"/>
        <v>8376.91</v>
      </c>
    </row>
    <row r="14" spans="1:9" ht="15.75" x14ac:dyDescent="0.5">
      <c r="A14" s="1" t="s">
        <v>22</v>
      </c>
      <c r="B14" s="6">
        <v>42278</v>
      </c>
      <c r="C14" s="6" t="s">
        <v>10</v>
      </c>
      <c r="D14" s="7">
        <v>2365.5479999999998</v>
      </c>
      <c r="E14" s="8">
        <v>5548</v>
      </c>
      <c r="F14" s="8">
        <v>1090</v>
      </c>
      <c r="G14" s="8">
        <v>1317</v>
      </c>
      <c r="H14" s="8">
        <v>7955</v>
      </c>
      <c r="I14" s="7">
        <f t="shared" si="0"/>
        <v>10320.547999999999</v>
      </c>
    </row>
    <row r="15" spans="1:9" ht="15.75" x14ac:dyDescent="0.5">
      <c r="A15" s="1" t="s">
        <v>22</v>
      </c>
      <c r="B15" s="6">
        <v>42309</v>
      </c>
      <c r="C15" s="6" t="s">
        <v>11</v>
      </c>
      <c r="D15" s="7">
        <v>1906.383</v>
      </c>
      <c r="E15" s="8">
        <v>4757</v>
      </c>
      <c r="F15" s="8">
        <v>503</v>
      </c>
      <c r="G15" s="8">
        <v>1878</v>
      </c>
      <c r="H15" s="8">
        <v>7138</v>
      </c>
      <c r="I15" s="7">
        <f t="shared" si="0"/>
        <v>9044.3829999999998</v>
      </c>
    </row>
    <row r="16" spans="1:9" ht="15.75" x14ac:dyDescent="0.5">
      <c r="A16" s="1" t="s">
        <v>22</v>
      </c>
      <c r="B16" s="6">
        <v>42339</v>
      </c>
      <c r="C16" s="6" t="s">
        <v>12</v>
      </c>
      <c r="D16" s="7">
        <v>2667.6370000000002</v>
      </c>
      <c r="E16" s="8">
        <v>6268</v>
      </c>
      <c r="F16" s="8">
        <v>417</v>
      </c>
      <c r="G16" s="8">
        <v>2375</v>
      </c>
      <c r="H16" s="8">
        <v>9060</v>
      </c>
      <c r="I16" s="7">
        <f t="shared" si="0"/>
        <v>11727.637000000001</v>
      </c>
    </row>
    <row r="17" spans="1:9" ht="15.75" x14ac:dyDescent="0.5">
      <c r="A17" s="1" t="s">
        <v>22</v>
      </c>
      <c r="B17" s="6">
        <v>42370</v>
      </c>
      <c r="C17" s="6" t="s">
        <v>13</v>
      </c>
      <c r="D17" s="7">
        <v>2659.8809999999999</v>
      </c>
      <c r="E17" s="8">
        <v>4437</v>
      </c>
      <c r="F17" s="8">
        <v>1194</v>
      </c>
      <c r="G17" s="8">
        <v>1675</v>
      </c>
      <c r="H17" s="8">
        <v>7306</v>
      </c>
      <c r="I17" s="7">
        <f t="shared" si="0"/>
        <v>9965.8809999999994</v>
      </c>
    </row>
    <row r="18" spans="1:9" ht="15.75" x14ac:dyDescent="0.5">
      <c r="A18" s="1" t="s">
        <v>22</v>
      </c>
      <c r="B18" s="6">
        <v>42401</v>
      </c>
      <c r="C18" s="6" t="s">
        <v>14</v>
      </c>
      <c r="D18" s="7">
        <v>3316.8910000000001</v>
      </c>
      <c r="E18" s="8">
        <v>5374</v>
      </c>
      <c r="F18" s="8">
        <v>2605</v>
      </c>
      <c r="G18" s="8">
        <v>2370</v>
      </c>
      <c r="H18" s="8">
        <v>10349</v>
      </c>
      <c r="I18" s="7">
        <f t="shared" si="0"/>
        <v>13665.891</v>
      </c>
    </row>
    <row r="19" spans="1:9" ht="15.75" x14ac:dyDescent="0.5">
      <c r="A19" s="1" t="s">
        <v>22</v>
      </c>
      <c r="B19" s="6">
        <v>42430</v>
      </c>
      <c r="C19" s="6" t="s">
        <v>15</v>
      </c>
      <c r="D19" s="7">
        <v>4454.9399999999996</v>
      </c>
      <c r="E19" s="8">
        <v>2024</v>
      </c>
      <c r="F19" s="8">
        <v>2789</v>
      </c>
      <c r="G19" s="8">
        <v>2366</v>
      </c>
      <c r="H19" s="8">
        <v>7179</v>
      </c>
      <c r="I19" s="7">
        <f t="shared" si="0"/>
        <v>11633.939999999999</v>
      </c>
    </row>
    <row r="20" spans="1:9" ht="15.75" x14ac:dyDescent="0.5">
      <c r="A20" s="1" t="s">
        <v>22</v>
      </c>
      <c r="B20" s="6">
        <v>42461</v>
      </c>
      <c r="C20" s="6" t="s">
        <v>16</v>
      </c>
      <c r="D20" s="7">
        <v>5010.366</v>
      </c>
      <c r="E20" s="8">
        <v>368</v>
      </c>
      <c r="F20" s="8">
        <v>1972</v>
      </c>
      <c r="G20" s="8">
        <v>2041</v>
      </c>
      <c r="H20" s="8">
        <v>4381</v>
      </c>
      <c r="I20" s="7">
        <f t="shared" si="0"/>
        <v>9391.366</v>
      </c>
    </row>
    <row r="21" spans="1:9" ht="15.75" x14ac:dyDescent="0.5">
      <c r="A21" s="1" t="s">
        <v>22</v>
      </c>
      <c r="B21" s="6">
        <v>42491</v>
      </c>
      <c r="C21" s="6" t="s">
        <v>17</v>
      </c>
      <c r="D21" s="7">
        <v>4804.6180000000004</v>
      </c>
      <c r="E21" s="8">
        <v>27</v>
      </c>
      <c r="F21" s="8">
        <v>1601</v>
      </c>
      <c r="G21" s="8">
        <v>1002</v>
      </c>
      <c r="H21" s="8">
        <v>2630</v>
      </c>
      <c r="I21" s="7">
        <f t="shared" si="0"/>
        <v>7434.6180000000004</v>
      </c>
    </row>
    <row r="22" spans="1:9" ht="15.75" x14ac:dyDescent="0.5">
      <c r="A22" s="1" t="s">
        <v>22</v>
      </c>
      <c r="B22" s="6">
        <v>42522</v>
      </c>
      <c r="C22" s="6" t="s">
        <v>18</v>
      </c>
      <c r="D22" s="7">
        <v>6075.915</v>
      </c>
      <c r="E22" s="8">
        <v>19</v>
      </c>
      <c r="F22" s="8">
        <v>1514</v>
      </c>
      <c r="G22" s="8">
        <v>920</v>
      </c>
      <c r="H22" s="8">
        <v>2453</v>
      </c>
      <c r="I22" s="7">
        <f t="shared" si="0"/>
        <v>8528.9150000000009</v>
      </c>
    </row>
    <row r="23" spans="1:9" ht="15.75" x14ac:dyDescent="0.5">
      <c r="A23" s="1" t="s">
        <v>22</v>
      </c>
      <c r="B23" s="6">
        <v>42552</v>
      </c>
      <c r="C23" s="6" t="s">
        <v>19</v>
      </c>
      <c r="D23" s="7">
        <v>5759.3519999999999</v>
      </c>
      <c r="E23" s="8">
        <v>1046</v>
      </c>
      <c r="F23" s="8">
        <v>2052</v>
      </c>
      <c r="G23" s="8">
        <v>439</v>
      </c>
      <c r="H23" s="8">
        <v>3537</v>
      </c>
      <c r="I23" s="7">
        <f t="shared" si="0"/>
        <v>9296.351999999999</v>
      </c>
    </row>
    <row r="24" spans="1:9" ht="15.75" x14ac:dyDescent="0.5">
      <c r="A24" s="1" t="s">
        <v>22</v>
      </c>
      <c r="B24" s="6">
        <v>42583</v>
      </c>
      <c r="C24" s="6" t="s">
        <v>20</v>
      </c>
      <c r="D24" s="7">
        <v>5776.1390000000001</v>
      </c>
      <c r="E24" s="8">
        <v>2565</v>
      </c>
      <c r="F24" s="8">
        <v>4105</v>
      </c>
      <c r="G24" s="8">
        <v>136</v>
      </c>
      <c r="H24" s="8">
        <v>6806</v>
      </c>
      <c r="I24" s="7">
        <f t="shared" si="0"/>
        <v>12582.138999999999</v>
      </c>
    </row>
    <row r="25" spans="1:9" ht="15.75" x14ac:dyDescent="0.5">
      <c r="A25" s="1" t="s">
        <v>22</v>
      </c>
      <c r="B25" s="6">
        <v>42614</v>
      </c>
      <c r="C25" s="6" t="s">
        <v>21</v>
      </c>
      <c r="D25" s="7">
        <v>6191.7749999999996</v>
      </c>
      <c r="E25" s="8">
        <v>2913</v>
      </c>
      <c r="F25" s="8">
        <v>1823</v>
      </c>
      <c r="G25" s="8">
        <v>68</v>
      </c>
      <c r="H25" s="8">
        <v>4804</v>
      </c>
      <c r="I25" s="7">
        <f t="shared" si="0"/>
        <v>10995.775</v>
      </c>
    </row>
    <row r="26" spans="1:9" ht="15.75" x14ac:dyDescent="0.5">
      <c r="A26" s="1" t="s">
        <v>23</v>
      </c>
      <c r="B26" s="6">
        <v>42644</v>
      </c>
      <c r="C26" s="6" t="s">
        <v>10</v>
      </c>
      <c r="D26" s="7">
        <v>3659.66</v>
      </c>
      <c r="E26" s="8">
        <v>1102</v>
      </c>
      <c r="F26" s="8">
        <v>2040</v>
      </c>
      <c r="G26" s="8">
        <v>1355</v>
      </c>
      <c r="H26" s="8">
        <v>4497</v>
      </c>
      <c r="I26" s="7">
        <f t="shared" si="0"/>
        <v>8156.66</v>
      </c>
    </row>
    <row r="27" spans="1:9" ht="15.75" x14ac:dyDescent="0.5">
      <c r="A27" s="1" t="s">
        <v>23</v>
      </c>
      <c r="B27" s="6">
        <v>42675</v>
      </c>
      <c r="C27" s="6" t="s">
        <v>11</v>
      </c>
      <c r="D27" s="7">
        <v>4049.3130000000001</v>
      </c>
      <c r="E27" s="8">
        <v>961</v>
      </c>
      <c r="F27" s="8">
        <v>1772</v>
      </c>
      <c r="G27" s="8">
        <v>2264</v>
      </c>
      <c r="H27" s="8">
        <v>4997</v>
      </c>
      <c r="I27" s="7">
        <f t="shared" si="0"/>
        <v>9046.3130000000001</v>
      </c>
    </row>
    <row r="28" spans="1:9" ht="15.75" x14ac:dyDescent="0.5">
      <c r="A28" s="1" t="s">
        <v>23</v>
      </c>
      <c r="B28" s="6">
        <v>42705</v>
      </c>
      <c r="C28" s="6" t="s">
        <v>12</v>
      </c>
      <c r="D28" s="7">
        <v>3906.5340000000001</v>
      </c>
      <c r="E28" s="8">
        <v>1006</v>
      </c>
      <c r="F28" s="8">
        <v>1017</v>
      </c>
      <c r="G28" s="8">
        <v>2647</v>
      </c>
      <c r="H28" s="8">
        <v>4670</v>
      </c>
      <c r="I28" s="7">
        <f t="shared" si="0"/>
        <v>8576.5339999999997</v>
      </c>
    </row>
    <row r="29" spans="1:9" ht="15.75" x14ac:dyDescent="0.5">
      <c r="A29" s="1" t="s">
        <v>23</v>
      </c>
      <c r="B29" s="6">
        <v>42736</v>
      </c>
      <c r="C29" s="6" t="s">
        <v>13</v>
      </c>
      <c r="D29" s="7">
        <v>4630.0519999999997</v>
      </c>
      <c r="E29" s="8">
        <v>1451</v>
      </c>
      <c r="F29" s="8">
        <v>701</v>
      </c>
      <c r="G29" s="8">
        <v>2312</v>
      </c>
      <c r="H29" s="8">
        <v>4464</v>
      </c>
      <c r="I29" s="7">
        <f t="shared" si="0"/>
        <v>9094.0519999999997</v>
      </c>
    </row>
    <row r="30" spans="1:9" ht="15.75" x14ac:dyDescent="0.5">
      <c r="A30" s="1" t="s">
        <v>23</v>
      </c>
      <c r="B30" s="6">
        <v>42767</v>
      </c>
      <c r="C30" s="6" t="s">
        <v>14</v>
      </c>
      <c r="D30" s="7">
        <v>5107.6729999999998</v>
      </c>
      <c r="E30" s="8">
        <v>487</v>
      </c>
      <c r="F30" s="8">
        <v>244</v>
      </c>
      <c r="G30" s="8">
        <v>1812</v>
      </c>
      <c r="H30" s="8">
        <v>2543</v>
      </c>
      <c r="I30" s="7">
        <f t="shared" si="0"/>
        <v>7650.6729999999998</v>
      </c>
    </row>
    <row r="31" spans="1:9" ht="15.75" x14ac:dyDescent="0.5">
      <c r="A31" s="1" t="s">
        <v>23</v>
      </c>
      <c r="B31" s="6">
        <v>42795</v>
      </c>
      <c r="C31" s="6" t="s">
        <v>15</v>
      </c>
      <c r="D31" s="7">
        <v>6662.9989999999998</v>
      </c>
      <c r="E31" s="8">
        <v>243</v>
      </c>
      <c r="F31" s="8">
        <v>1896</v>
      </c>
      <c r="G31" s="8">
        <v>3125</v>
      </c>
      <c r="H31" s="8">
        <v>5264</v>
      </c>
      <c r="I31" s="7">
        <f t="shared" si="0"/>
        <v>11926.999</v>
      </c>
    </row>
    <row r="32" spans="1:9" ht="15.75" x14ac:dyDescent="0.5">
      <c r="A32" s="1" t="s">
        <v>23</v>
      </c>
      <c r="B32" s="6">
        <v>42826</v>
      </c>
      <c r="C32" s="6" t="s">
        <v>16</v>
      </c>
      <c r="D32" s="7">
        <v>5509.6639999999998</v>
      </c>
      <c r="E32" s="8">
        <v>155</v>
      </c>
      <c r="F32" s="8">
        <v>2819</v>
      </c>
      <c r="G32" s="8">
        <v>1946</v>
      </c>
      <c r="H32" s="8">
        <v>4920</v>
      </c>
      <c r="I32" s="7">
        <f t="shared" si="0"/>
        <v>10429.664000000001</v>
      </c>
    </row>
    <row r="33" spans="1:9" ht="15.75" x14ac:dyDescent="0.5">
      <c r="A33" s="1" t="s">
        <v>23</v>
      </c>
      <c r="B33" s="6">
        <v>42856</v>
      </c>
      <c r="C33" s="6" t="s">
        <v>17</v>
      </c>
      <c r="D33" s="7">
        <v>5267.29</v>
      </c>
      <c r="E33" s="8">
        <v>310</v>
      </c>
      <c r="F33" s="8">
        <v>2223</v>
      </c>
      <c r="G33" s="8">
        <v>2654</v>
      </c>
      <c r="H33" s="8">
        <v>5187</v>
      </c>
      <c r="I33" s="7">
        <f t="shared" si="0"/>
        <v>10454.290000000001</v>
      </c>
    </row>
    <row r="34" spans="1:9" ht="15.75" x14ac:dyDescent="0.5">
      <c r="A34" s="1" t="s">
        <v>23</v>
      </c>
      <c r="B34" s="6">
        <v>42887</v>
      </c>
      <c r="C34" s="6" t="s">
        <v>18</v>
      </c>
      <c r="D34" s="7">
        <v>4925.8320000000003</v>
      </c>
      <c r="E34" s="8">
        <v>563</v>
      </c>
      <c r="F34" s="8">
        <v>2117</v>
      </c>
      <c r="G34" s="8">
        <v>1948</v>
      </c>
      <c r="H34" s="8">
        <v>4628</v>
      </c>
      <c r="I34" s="7">
        <f t="shared" si="0"/>
        <v>9553.8320000000003</v>
      </c>
    </row>
    <row r="35" spans="1:9" ht="15.75" x14ac:dyDescent="0.5">
      <c r="A35" s="1" t="s">
        <v>23</v>
      </c>
      <c r="B35" s="6">
        <v>42917</v>
      </c>
      <c r="C35" s="6" t="s">
        <v>19</v>
      </c>
      <c r="D35" s="7">
        <v>4758.4939999999997</v>
      </c>
      <c r="E35" s="8">
        <v>2323</v>
      </c>
      <c r="F35" s="8">
        <v>3172</v>
      </c>
      <c r="G35" s="8">
        <v>873</v>
      </c>
      <c r="H35" s="8">
        <v>6368</v>
      </c>
      <c r="I35" s="7">
        <f t="shared" si="0"/>
        <v>11126.493999999999</v>
      </c>
    </row>
    <row r="36" spans="1:9" ht="15.75" x14ac:dyDescent="0.5">
      <c r="A36" s="1" t="s">
        <v>23</v>
      </c>
      <c r="B36" s="6">
        <v>42948</v>
      </c>
      <c r="C36" s="6" t="s">
        <v>20</v>
      </c>
      <c r="D36" s="7">
        <v>3546.7759999999998</v>
      </c>
      <c r="E36" s="8">
        <v>5257</v>
      </c>
      <c r="F36" s="8">
        <v>2926</v>
      </c>
      <c r="G36" s="8">
        <v>270</v>
      </c>
      <c r="H36" s="8">
        <v>8453</v>
      </c>
      <c r="I36" s="7">
        <f t="shared" si="0"/>
        <v>11999.776</v>
      </c>
    </row>
    <row r="37" spans="1:9" ht="15.75" x14ac:dyDescent="0.5">
      <c r="A37" s="1" t="s">
        <v>23</v>
      </c>
      <c r="B37" s="6">
        <v>42979</v>
      </c>
      <c r="C37" s="6" t="s">
        <v>21</v>
      </c>
      <c r="D37" s="7">
        <v>3536.444</v>
      </c>
      <c r="E37" s="8">
        <v>5914</v>
      </c>
      <c r="F37" s="8">
        <v>1999</v>
      </c>
      <c r="G37" s="8">
        <v>119</v>
      </c>
      <c r="H37" s="8">
        <v>8032</v>
      </c>
      <c r="I37" s="7">
        <f t="shared" si="0"/>
        <v>11568.444</v>
      </c>
    </row>
    <row r="38" spans="1:9" ht="15.75" x14ac:dyDescent="0.5">
      <c r="A38" s="1" t="s">
        <v>24</v>
      </c>
      <c r="B38" s="6">
        <v>43009</v>
      </c>
      <c r="C38" s="6" t="s">
        <v>10</v>
      </c>
      <c r="D38" s="7">
        <v>2655.4169999999999</v>
      </c>
      <c r="E38" s="8">
        <v>5028</v>
      </c>
      <c r="F38" s="8">
        <v>2205</v>
      </c>
      <c r="G38" s="8">
        <v>501</v>
      </c>
      <c r="H38" s="8">
        <v>7734</v>
      </c>
      <c r="I38" s="7">
        <f t="shared" si="0"/>
        <v>10389.416999999999</v>
      </c>
    </row>
    <row r="39" spans="1:9" ht="15.75" x14ac:dyDescent="0.5">
      <c r="A39" s="1" t="s">
        <v>24</v>
      </c>
      <c r="B39" s="6">
        <v>43040</v>
      </c>
      <c r="C39" s="6" t="s">
        <v>11</v>
      </c>
      <c r="D39" s="7">
        <v>2630.34</v>
      </c>
      <c r="E39" s="8">
        <v>3520</v>
      </c>
      <c r="F39" s="8">
        <v>1957</v>
      </c>
      <c r="G39" s="8">
        <v>1582</v>
      </c>
      <c r="H39" s="8">
        <v>7059</v>
      </c>
      <c r="I39" s="7">
        <f t="shared" si="0"/>
        <v>9689.34</v>
      </c>
    </row>
    <row r="40" spans="1:9" ht="15.75" x14ac:dyDescent="0.5">
      <c r="A40" s="1" t="s">
        <v>24</v>
      </c>
      <c r="B40" s="6">
        <v>43070</v>
      </c>
      <c r="C40" s="6" t="s">
        <v>12</v>
      </c>
      <c r="D40" s="7">
        <v>3558.5909999999999</v>
      </c>
      <c r="E40" s="8">
        <v>3994</v>
      </c>
      <c r="F40" s="8">
        <v>1433</v>
      </c>
      <c r="G40" s="8">
        <v>2245</v>
      </c>
      <c r="H40" s="8">
        <v>7672</v>
      </c>
      <c r="I40" s="7">
        <f t="shared" si="0"/>
        <v>11230.591</v>
      </c>
    </row>
    <row r="41" spans="1:9" ht="15.75" x14ac:dyDescent="0.5">
      <c r="A41" s="1" t="s">
        <v>24</v>
      </c>
      <c r="B41" s="6">
        <v>43101</v>
      </c>
      <c r="C41" s="6" t="s">
        <v>13</v>
      </c>
      <c r="D41" s="7">
        <v>3852.75</v>
      </c>
      <c r="E41" s="8">
        <v>3022</v>
      </c>
      <c r="F41" s="8">
        <v>1762</v>
      </c>
      <c r="G41" s="8">
        <v>2082</v>
      </c>
      <c r="H41" s="8">
        <v>6866</v>
      </c>
      <c r="I41" s="7">
        <f t="shared" si="0"/>
        <v>10718.75</v>
      </c>
    </row>
    <row r="42" spans="1:9" ht="15.75" x14ac:dyDescent="0.5">
      <c r="A42" s="1" t="s">
        <v>24</v>
      </c>
      <c r="B42" s="6">
        <v>43132</v>
      </c>
      <c r="C42" s="6" t="s">
        <v>14</v>
      </c>
      <c r="D42" s="7">
        <v>3899.9569999999999</v>
      </c>
      <c r="E42" s="8">
        <v>1254</v>
      </c>
      <c r="F42" s="8">
        <v>1464</v>
      </c>
      <c r="G42" s="8">
        <v>2025</v>
      </c>
      <c r="H42" s="8">
        <v>4743</v>
      </c>
      <c r="I42" s="7">
        <f t="shared" si="0"/>
        <v>8642.9570000000003</v>
      </c>
    </row>
    <row r="43" spans="1:9" ht="15.75" x14ac:dyDescent="0.5">
      <c r="A43" s="1" t="s">
        <v>24</v>
      </c>
      <c r="B43" s="6">
        <v>43160</v>
      </c>
      <c r="C43" s="6" t="s">
        <v>15</v>
      </c>
      <c r="D43" s="7">
        <v>6467.5559999999996</v>
      </c>
      <c r="E43" s="8">
        <v>605</v>
      </c>
      <c r="F43" s="8">
        <v>2586</v>
      </c>
      <c r="G43" s="8">
        <v>2489</v>
      </c>
      <c r="H43" s="8">
        <v>5680</v>
      </c>
      <c r="I43" s="7">
        <f t="shared" si="0"/>
        <v>12147.556</v>
      </c>
    </row>
    <row r="44" spans="1:9" ht="15.75" x14ac:dyDescent="0.5">
      <c r="A44" s="1" t="s">
        <v>24</v>
      </c>
      <c r="B44" s="6">
        <v>43191</v>
      </c>
      <c r="C44" s="6" t="s">
        <v>16</v>
      </c>
      <c r="D44" s="7">
        <v>7649.2659999999996</v>
      </c>
      <c r="E44" s="8">
        <v>115</v>
      </c>
      <c r="F44" s="8">
        <v>2478</v>
      </c>
      <c r="G44" s="8">
        <v>2299</v>
      </c>
      <c r="H44" s="8">
        <v>4892</v>
      </c>
      <c r="I44" s="7">
        <f t="shared" si="0"/>
        <v>12541.266</v>
      </c>
    </row>
    <row r="45" spans="1:9" ht="15.75" x14ac:dyDescent="0.5">
      <c r="A45" s="1" t="s">
        <v>24</v>
      </c>
      <c r="B45" s="6">
        <v>43221</v>
      </c>
      <c r="C45" s="6" t="s">
        <v>17</v>
      </c>
      <c r="D45" s="7">
        <v>7760.8190000000004</v>
      </c>
      <c r="E45" s="8">
        <v>57</v>
      </c>
      <c r="F45" s="8">
        <v>1812</v>
      </c>
      <c r="G45" s="8">
        <v>1811</v>
      </c>
      <c r="H45" s="8">
        <v>3680</v>
      </c>
      <c r="I45" s="7">
        <f t="shared" si="0"/>
        <v>11440.819</v>
      </c>
    </row>
    <row r="46" spans="1:9" ht="15.75" x14ac:dyDescent="0.5">
      <c r="A46" s="1" t="s">
        <v>24</v>
      </c>
      <c r="B46" s="6">
        <v>43252</v>
      </c>
      <c r="C46" s="6" t="s">
        <v>18</v>
      </c>
      <c r="D46" s="7">
        <v>7187.9880000000003</v>
      </c>
      <c r="E46" s="8">
        <v>143</v>
      </c>
      <c r="F46" s="8">
        <v>1762</v>
      </c>
      <c r="G46" s="8">
        <v>1469</v>
      </c>
      <c r="H46" s="8">
        <v>3374</v>
      </c>
      <c r="I46" s="7">
        <f t="shared" si="0"/>
        <v>10561.988000000001</v>
      </c>
    </row>
    <row r="47" spans="1:9" ht="15.75" x14ac:dyDescent="0.5">
      <c r="A47" s="1" t="s">
        <v>24</v>
      </c>
      <c r="B47" s="6">
        <v>43282</v>
      </c>
      <c r="C47" s="6" t="s">
        <v>19</v>
      </c>
      <c r="D47" s="7">
        <v>6770.8320000000003</v>
      </c>
      <c r="E47" s="8">
        <v>1170</v>
      </c>
      <c r="F47" s="8">
        <v>2493</v>
      </c>
      <c r="G47" s="8">
        <v>700</v>
      </c>
      <c r="H47" s="8">
        <v>4363</v>
      </c>
      <c r="I47" s="7">
        <f t="shared" si="0"/>
        <v>11133.832</v>
      </c>
    </row>
    <row r="48" spans="1:9" ht="15.75" x14ac:dyDescent="0.5">
      <c r="A48" s="1" t="s">
        <v>24</v>
      </c>
      <c r="B48" s="6">
        <v>43313</v>
      </c>
      <c r="C48" s="6" t="s">
        <v>20</v>
      </c>
      <c r="D48" s="7">
        <v>5844.3670000000002</v>
      </c>
      <c r="E48" s="8">
        <v>2826</v>
      </c>
      <c r="F48" s="8">
        <v>2418</v>
      </c>
      <c r="G48" s="8">
        <v>542</v>
      </c>
      <c r="H48" s="8">
        <v>5786</v>
      </c>
      <c r="I48" s="7">
        <f t="shared" si="0"/>
        <v>11630.367</v>
      </c>
    </row>
    <row r="49" spans="1:9" ht="15.75" x14ac:dyDescent="0.5">
      <c r="A49" s="1" t="s">
        <v>24</v>
      </c>
      <c r="B49" s="6">
        <v>43344</v>
      </c>
      <c r="C49" s="6" t="s">
        <v>21</v>
      </c>
      <c r="D49" s="7">
        <v>5291.1180000000004</v>
      </c>
      <c r="E49" s="8">
        <v>3361</v>
      </c>
      <c r="F49" s="8">
        <v>1814</v>
      </c>
      <c r="G49" s="8">
        <v>285</v>
      </c>
      <c r="H49" s="8">
        <v>5460</v>
      </c>
      <c r="I49" s="7">
        <f t="shared" si="0"/>
        <v>10751.118</v>
      </c>
    </row>
    <row r="50" spans="1:9" ht="15.75" x14ac:dyDescent="0.5">
      <c r="A50" s="1" t="s">
        <v>25</v>
      </c>
      <c r="B50" s="6">
        <v>43374</v>
      </c>
      <c r="C50" s="6" t="s">
        <v>10</v>
      </c>
      <c r="D50" s="7">
        <v>5660.29</v>
      </c>
      <c r="E50" s="8">
        <v>3106</v>
      </c>
      <c r="F50" s="8">
        <v>2024</v>
      </c>
      <c r="G50" s="8">
        <v>1348</v>
      </c>
      <c r="H50" s="8">
        <v>6478</v>
      </c>
      <c r="I50" s="7">
        <f t="shared" si="0"/>
        <v>12138.29</v>
      </c>
    </row>
    <row r="51" spans="1:9" ht="15.75" x14ac:dyDescent="0.5">
      <c r="A51" s="1" t="s">
        <v>25</v>
      </c>
      <c r="B51" s="6">
        <v>43405</v>
      </c>
      <c r="C51" s="6" t="s">
        <v>11</v>
      </c>
      <c r="D51" s="7">
        <v>5084.1450000000004</v>
      </c>
      <c r="E51" s="8">
        <v>3646</v>
      </c>
      <c r="F51" s="8">
        <v>1243</v>
      </c>
      <c r="G51" s="8">
        <v>3119</v>
      </c>
      <c r="H51" s="8">
        <v>8008</v>
      </c>
      <c r="I51" s="7">
        <f t="shared" si="0"/>
        <v>13092.145</v>
      </c>
    </row>
    <row r="52" spans="1:9" ht="15.75" x14ac:dyDescent="0.5">
      <c r="A52" s="1" t="s">
        <v>25</v>
      </c>
      <c r="B52" s="6">
        <v>43435</v>
      </c>
      <c r="C52" s="6" t="s">
        <v>12</v>
      </c>
      <c r="D52" s="7">
        <v>4302.8230000000003</v>
      </c>
      <c r="E52" s="8">
        <v>3637</v>
      </c>
      <c r="F52" s="8">
        <v>1387</v>
      </c>
      <c r="G52" s="8">
        <v>3261</v>
      </c>
      <c r="H52" s="8">
        <v>8285</v>
      </c>
      <c r="I52" s="7">
        <f t="shared" si="0"/>
        <v>12587.823</v>
      </c>
    </row>
    <row r="53" spans="1:9" ht="15.75" x14ac:dyDescent="0.5">
      <c r="A53" s="1" t="s">
        <v>25</v>
      </c>
      <c r="B53" s="6">
        <v>43466</v>
      </c>
      <c r="C53" s="6" t="s">
        <v>13</v>
      </c>
      <c r="D53" s="7">
        <v>4778.01</v>
      </c>
      <c r="E53" s="8">
        <v>3832</v>
      </c>
      <c r="F53" s="8">
        <v>1036</v>
      </c>
      <c r="G53" s="8">
        <v>3378</v>
      </c>
      <c r="H53" s="8">
        <v>8246</v>
      </c>
      <c r="I53" s="7">
        <f t="shared" si="0"/>
        <v>13024.01</v>
      </c>
    </row>
    <row r="54" spans="1:9" ht="15.75" x14ac:dyDescent="0.5">
      <c r="A54" s="1" t="s">
        <v>25</v>
      </c>
      <c r="B54" s="6">
        <v>43525</v>
      </c>
      <c r="C54" s="6" t="s">
        <v>15</v>
      </c>
      <c r="D54" s="7">
        <v>4652.4719999999998</v>
      </c>
      <c r="E54" s="8">
        <v>827</v>
      </c>
      <c r="F54" s="8">
        <v>3692</v>
      </c>
      <c r="G54" s="8">
        <v>3771</v>
      </c>
      <c r="H54" s="8">
        <v>8290</v>
      </c>
      <c r="I54" s="7">
        <f t="shared" si="0"/>
        <v>12942.472</v>
      </c>
    </row>
    <row r="55" spans="1:9" ht="15.75" x14ac:dyDescent="0.5">
      <c r="A55" s="1" t="s">
        <v>25</v>
      </c>
      <c r="B55" s="6">
        <v>43556</v>
      </c>
      <c r="C55" s="6" t="s">
        <v>16</v>
      </c>
      <c r="D55" s="7">
        <v>5471.9549999999999</v>
      </c>
      <c r="E55" s="8">
        <v>348</v>
      </c>
      <c r="F55" s="8">
        <v>3882</v>
      </c>
      <c r="G55" s="8">
        <v>3653</v>
      </c>
      <c r="H55" s="8">
        <v>7883</v>
      </c>
      <c r="I55" s="7">
        <f t="shared" si="0"/>
        <v>13354.955</v>
      </c>
    </row>
    <row r="56" spans="1:9" ht="15.75" x14ac:dyDescent="0.5">
      <c r="A56" s="1" t="s">
        <v>25</v>
      </c>
      <c r="B56" s="6">
        <v>43586</v>
      </c>
      <c r="C56" s="6" t="s">
        <v>17</v>
      </c>
      <c r="D56" s="7">
        <v>4746.8540000000003</v>
      </c>
      <c r="E56" s="8">
        <v>954</v>
      </c>
      <c r="F56" s="8">
        <v>4093</v>
      </c>
      <c r="G56" s="8">
        <v>3805</v>
      </c>
      <c r="H56" s="8">
        <v>8852</v>
      </c>
      <c r="I56" s="7">
        <f t="shared" si="0"/>
        <v>13598.853999999999</v>
      </c>
    </row>
    <row r="57" spans="1:9" ht="15.75" x14ac:dyDescent="0.5">
      <c r="A57" s="1" t="s">
        <v>25</v>
      </c>
      <c r="B57" s="6">
        <v>43617</v>
      </c>
      <c r="C57" s="6" t="s">
        <v>18</v>
      </c>
      <c r="D57" s="7">
        <v>2972.3989999999999</v>
      </c>
      <c r="E57" s="8">
        <v>1114</v>
      </c>
      <c r="F57" s="8">
        <v>2987</v>
      </c>
      <c r="G57" s="8">
        <v>2211</v>
      </c>
      <c r="H57" s="8">
        <v>6312</v>
      </c>
      <c r="I57" s="7">
        <f t="shared" si="0"/>
        <v>9284.3989999999994</v>
      </c>
    </row>
    <row r="58" spans="1:9" ht="15.75" x14ac:dyDescent="0.5">
      <c r="A58" s="1" t="s">
        <v>25</v>
      </c>
      <c r="B58" s="6">
        <v>43647</v>
      </c>
      <c r="C58" s="6" t="s">
        <v>19</v>
      </c>
      <c r="D58" s="7">
        <v>3125.518</v>
      </c>
      <c r="E58" s="8">
        <v>5926</v>
      </c>
      <c r="F58" s="8">
        <v>4426</v>
      </c>
      <c r="G58" s="8">
        <v>1575</v>
      </c>
      <c r="H58" s="8">
        <v>11927</v>
      </c>
      <c r="I58" s="7">
        <f t="shared" si="0"/>
        <v>15052.518</v>
      </c>
    </row>
    <row r="59" spans="1:9" ht="15.75" x14ac:dyDescent="0.5">
      <c r="A59" s="1" t="s">
        <v>25</v>
      </c>
      <c r="B59" s="6">
        <v>43678</v>
      </c>
      <c r="C59" s="6" t="s">
        <v>20</v>
      </c>
      <c r="D59" s="7">
        <v>2795.105</v>
      </c>
      <c r="E59" s="8">
        <v>7316</v>
      </c>
      <c r="F59" s="8">
        <v>3429</v>
      </c>
      <c r="G59" s="8">
        <v>279</v>
      </c>
      <c r="H59" s="8">
        <v>11024</v>
      </c>
      <c r="I59" s="7">
        <f t="shared" si="0"/>
        <v>13819.105</v>
      </c>
    </row>
    <row r="60" spans="1:9" ht="15.75" x14ac:dyDescent="0.5">
      <c r="A60" s="1" t="s">
        <v>25</v>
      </c>
      <c r="B60" s="6">
        <v>43709</v>
      </c>
      <c r="C60" s="6" t="s">
        <v>21</v>
      </c>
      <c r="D60" s="7">
        <v>2051.7269999999999</v>
      </c>
      <c r="E60" s="8">
        <v>6439</v>
      </c>
      <c r="F60" s="8">
        <v>3261</v>
      </c>
      <c r="G60" s="8">
        <v>175</v>
      </c>
      <c r="H60" s="8">
        <v>9875</v>
      </c>
      <c r="I60" s="7">
        <f t="shared" si="0"/>
        <v>11926.726999999999</v>
      </c>
    </row>
    <row r="61" spans="1:9" ht="15.75" x14ac:dyDescent="0.5">
      <c r="A61" s="1" t="s">
        <v>26</v>
      </c>
      <c r="B61" s="6">
        <v>43739</v>
      </c>
      <c r="C61" s="6" t="s">
        <v>10</v>
      </c>
      <c r="D61" s="7">
        <v>2306.1109999999999</v>
      </c>
      <c r="E61" s="8">
        <v>6021</v>
      </c>
      <c r="F61" s="8">
        <v>3187</v>
      </c>
      <c r="G61" s="8">
        <v>2291</v>
      </c>
      <c r="H61" s="8">
        <v>11499</v>
      </c>
      <c r="I61" s="7">
        <f t="shared" si="0"/>
        <v>13805.111000000001</v>
      </c>
    </row>
    <row r="62" spans="1:9" ht="15.75" x14ac:dyDescent="0.5">
      <c r="A62" s="1" t="s">
        <v>26</v>
      </c>
      <c r="B62" s="6">
        <v>43770</v>
      </c>
      <c r="C62" s="6" t="s">
        <v>11</v>
      </c>
      <c r="D62" s="7">
        <v>2506.248</v>
      </c>
      <c r="E62" s="8">
        <v>4107</v>
      </c>
      <c r="F62" s="8">
        <v>2864</v>
      </c>
      <c r="G62" s="8">
        <v>3201</v>
      </c>
      <c r="H62" s="8">
        <v>10172</v>
      </c>
      <c r="I62" s="7">
        <f t="shared" si="0"/>
        <v>12678.248</v>
      </c>
    </row>
    <row r="63" spans="1:9" ht="15.75" x14ac:dyDescent="0.5">
      <c r="A63" s="1" t="s">
        <v>26</v>
      </c>
      <c r="B63" s="6">
        <v>43800</v>
      </c>
      <c r="C63" s="6" t="s">
        <v>12</v>
      </c>
      <c r="D63" s="7">
        <v>2569.92</v>
      </c>
      <c r="E63" s="8">
        <v>4160</v>
      </c>
      <c r="F63" s="8">
        <v>1885</v>
      </c>
      <c r="G63" s="8">
        <v>4257</v>
      </c>
      <c r="H63" s="8">
        <v>10302</v>
      </c>
      <c r="I63" s="7">
        <f t="shared" si="0"/>
        <v>12871.92</v>
      </c>
    </row>
    <row r="64" spans="1:9" ht="15.75" x14ac:dyDescent="0.5">
      <c r="A64" s="1" t="s">
        <v>26</v>
      </c>
      <c r="B64" s="6">
        <v>43831</v>
      </c>
      <c r="C64" s="6" t="s">
        <v>13</v>
      </c>
      <c r="D64" s="7">
        <v>2474.8649999999998</v>
      </c>
      <c r="E64" s="8">
        <v>2086</v>
      </c>
      <c r="F64" s="8">
        <v>1862</v>
      </c>
      <c r="G64" s="8">
        <v>4542</v>
      </c>
      <c r="H64" s="8">
        <v>8490</v>
      </c>
      <c r="I64" s="7">
        <f t="shared" si="0"/>
        <v>10964.865</v>
      </c>
    </row>
    <row r="65" spans="1:9" ht="15.75" x14ac:dyDescent="0.5">
      <c r="A65" s="1" t="s">
        <v>26</v>
      </c>
      <c r="B65" s="6">
        <v>43862</v>
      </c>
      <c r="C65" s="6" t="s">
        <v>14</v>
      </c>
      <c r="D65" s="7">
        <v>3906.41</v>
      </c>
      <c r="E65" s="8">
        <v>339</v>
      </c>
      <c r="F65" s="8">
        <v>1663</v>
      </c>
      <c r="G65" s="8">
        <v>3455</v>
      </c>
      <c r="H65" s="8">
        <v>5457</v>
      </c>
      <c r="I65" s="7">
        <f t="shared" si="0"/>
        <v>9363.41</v>
      </c>
    </row>
    <row r="66" spans="1:9" ht="15.75" x14ac:dyDescent="0.5">
      <c r="A66" s="1" t="s">
        <v>26</v>
      </c>
      <c r="B66" s="6">
        <v>43891</v>
      </c>
      <c r="C66" s="6" t="s">
        <v>15</v>
      </c>
      <c r="D66" s="7">
        <v>4612.7700000000004</v>
      </c>
      <c r="E66" s="8">
        <v>471</v>
      </c>
      <c r="F66" s="8">
        <v>3652</v>
      </c>
      <c r="G66" s="8">
        <v>3526</v>
      </c>
      <c r="H66" s="8">
        <v>7649</v>
      </c>
      <c r="I66" s="7">
        <f t="shared" si="0"/>
        <v>12261.77</v>
      </c>
    </row>
    <row r="67" spans="1:9" ht="15.75" x14ac:dyDescent="0.5">
      <c r="A67" s="1" t="s">
        <v>26</v>
      </c>
      <c r="B67" s="6">
        <v>43922</v>
      </c>
      <c r="C67" s="6" t="s">
        <v>16</v>
      </c>
      <c r="D67" s="7">
        <v>5052.0529999999999</v>
      </c>
      <c r="E67" s="8">
        <v>6</v>
      </c>
      <c r="F67" s="8">
        <v>4205</v>
      </c>
      <c r="G67" s="8">
        <v>3090</v>
      </c>
      <c r="H67" s="8">
        <v>7301</v>
      </c>
      <c r="I67" s="7">
        <f t="shared" ref="I67:I130" si="1">D67+E67+F67+G67</f>
        <v>12353.053</v>
      </c>
    </row>
    <row r="68" spans="1:9" ht="15.75" x14ac:dyDescent="0.5">
      <c r="A68" s="1" t="s">
        <v>26</v>
      </c>
      <c r="B68" s="6">
        <v>43952</v>
      </c>
      <c r="C68" s="6" t="s">
        <v>17</v>
      </c>
      <c r="D68" s="7">
        <v>5652.0649999999996</v>
      </c>
      <c r="E68" s="8">
        <v>25</v>
      </c>
      <c r="F68" s="8">
        <v>4086</v>
      </c>
      <c r="G68" s="8">
        <v>2379</v>
      </c>
      <c r="H68" s="8">
        <v>6490</v>
      </c>
      <c r="I68" s="7">
        <f t="shared" si="1"/>
        <v>12142.064999999999</v>
      </c>
    </row>
    <row r="69" spans="1:9" ht="15.75" x14ac:dyDescent="0.5">
      <c r="A69" s="1" t="s">
        <v>26</v>
      </c>
      <c r="B69" s="6">
        <v>43983</v>
      </c>
      <c r="C69" s="6" t="s">
        <v>18</v>
      </c>
      <c r="D69" s="7">
        <v>5062.6679999999997</v>
      </c>
      <c r="E69" s="8">
        <v>312</v>
      </c>
      <c r="F69" s="8">
        <v>4579</v>
      </c>
      <c r="G69" s="8">
        <v>1547</v>
      </c>
      <c r="H69" s="8">
        <v>6438</v>
      </c>
      <c r="I69" s="7">
        <f t="shared" si="1"/>
        <v>11500.668</v>
      </c>
    </row>
    <row r="70" spans="1:9" ht="15.75" x14ac:dyDescent="0.5">
      <c r="A70" s="1" t="s">
        <v>26</v>
      </c>
      <c r="B70" s="6">
        <v>44013</v>
      </c>
      <c r="C70" s="6" t="s">
        <v>19</v>
      </c>
      <c r="D70" s="7">
        <v>4425.7179999999998</v>
      </c>
      <c r="E70" s="8">
        <v>3978</v>
      </c>
      <c r="F70" s="8">
        <v>4321</v>
      </c>
      <c r="G70" s="8">
        <v>425</v>
      </c>
      <c r="H70" s="8">
        <v>8724</v>
      </c>
      <c r="I70" s="7">
        <f t="shared" si="1"/>
        <v>13149.718000000001</v>
      </c>
    </row>
    <row r="71" spans="1:9" ht="15.75" x14ac:dyDescent="0.5">
      <c r="A71" s="1" t="s">
        <v>26</v>
      </c>
      <c r="B71" s="6">
        <v>44044</v>
      </c>
      <c r="C71" s="6" t="s">
        <v>20</v>
      </c>
      <c r="D71" s="7">
        <v>4488.6059999999998</v>
      </c>
      <c r="E71" s="8">
        <v>6243</v>
      </c>
      <c r="F71" s="8">
        <v>4586</v>
      </c>
      <c r="G71" s="8">
        <v>179</v>
      </c>
      <c r="H71" s="8">
        <v>11008</v>
      </c>
      <c r="I71" s="7">
        <f t="shared" si="1"/>
        <v>15496.606</v>
      </c>
    </row>
    <row r="72" spans="1:9" ht="15.75" x14ac:dyDescent="0.5">
      <c r="A72" s="1" t="s">
        <v>26</v>
      </c>
      <c r="B72" s="6">
        <v>44075</v>
      </c>
      <c r="C72" s="6" t="s">
        <v>21</v>
      </c>
      <c r="D72" s="7">
        <v>3912.2420000000002</v>
      </c>
      <c r="E72" s="8">
        <v>6362</v>
      </c>
      <c r="F72" s="8">
        <v>3029</v>
      </c>
      <c r="G72" s="8">
        <v>29</v>
      </c>
      <c r="H72" s="8">
        <v>9420</v>
      </c>
      <c r="I72" s="7">
        <f t="shared" si="1"/>
        <v>13332.242</v>
      </c>
    </row>
    <row r="73" spans="1:9" ht="15.75" x14ac:dyDescent="0.5">
      <c r="A73" s="1" t="s">
        <v>27</v>
      </c>
      <c r="B73" s="6">
        <v>44105</v>
      </c>
      <c r="C73" s="6" t="s">
        <v>10</v>
      </c>
      <c r="D73" s="7">
        <v>3680.7939999999999</v>
      </c>
      <c r="E73" s="8">
        <v>5001</v>
      </c>
      <c r="F73" s="8">
        <v>2542</v>
      </c>
      <c r="G73" s="8">
        <v>1842</v>
      </c>
      <c r="H73" s="8">
        <v>9385</v>
      </c>
      <c r="I73" s="7">
        <f t="shared" si="1"/>
        <v>13065.794</v>
      </c>
    </row>
    <row r="74" spans="1:9" ht="15.75" x14ac:dyDescent="0.5">
      <c r="A74" s="1" t="s">
        <v>27</v>
      </c>
      <c r="B74" s="6">
        <v>44136</v>
      </c>
      <c r="C74" s="6" t="s">
        <v>11</v>
      </c>
      <c r="D74" s="7">
        <v>3794.491</v>
      </c>
      <c r="E74" s="8">
        <v>4729</v>
      </c>
      <c r="F74" s="8">
        <v>1520</v>
      </c>
      <c r="G74" s="8">
        <v>3106</v>
      </c>
      <c r="H74" s="8">
        <v>9355</v>
      </c>
      <c r="I74" s="7">
        <f t="shared" si="1"/>
        <v>13149.491</v>
      </c>
    </row>
    <row r="75" spans="1:9" ht="15.75" x14ac:dyDescent="0.5">
      <c r="A75" s="1" t="s">
        <v>27</v>
      </c>
      <c r="B75" s="6">
        <v>44166</v>
      </c>
      <c r="C75" s="6" t="s">
        <v>12</v>
      </c>
      <c r="D75" s="7">
        <v>4754.3410000000003</v>
      </c>
      <c r="E75" s="8">
        <v>4850</v>
      </c>
      <c r="F75" s="8">
        <v>986</v>
      </c>
      <c r="G75" s="8">
        <v>3824</v>
      </c>
      <c r="H75" s="8">
        <v>9660</v>
      </c>
      <c r="I75" s="7">
        <f t="shared" si="1"/>
        <v>14414.341</v>
      </c>
    </row>
    <row r="76" spans="1:9" ht="15.75" x14ac:dyDescent="0.5">
      <c r="A76" s="1" t="s">
        <v>27</v>
      </c>
      <c r="B76" s="6">
        <v>44197</v>
      </c>
      <c r="C76" s="6" t="s">
        <v>13</v>
      </c>
      <c r="D76" s="7">
        <v>5872.625</v>
      </c>
      <c r="E76" s="8">
        <v>2357</v>
      </c>
      <c r="F76" s="8">
        <v>1682</v>
      </c>
      <c r="G76" s="8">
        <v>1995</v>
      </c>
      <c r="H76" s="8">
        <v>6034</v>
      </c>
      <c r="I76" s="7">
        <f t="shared" si="1"/>
        <v>11906.625</v>
      </c>
    </row>
    <row r="77" spans="1:9" ht="15.75" x14ac:dyDescent="0.5">
      <c r="A77" s="1" t="s">
        <v>27</v>
      </c>
      <c r="B77" s="6">
        <v>44228</v>
      </c>
      <c r="C77" s="6" t="s">
        <v>14</v>
      </c>
      <c r="D77" s="7">
        <v>6471.5020000000004</v>
      </c>
      <c r="E77" s="8">
        <v>775</v>
      </c>
      <c r="F77" s="8">
        <v>1074</v>
      </c>
      <c r="G77" s="8">
        <v>2474</v>
      </c>
      <c r="H77" s="8">
        <v>4323</v>
      </c>
      <c r="I77" s="7">
        <f t="shared" si="1"/>
        <v>10794.502</v>
      </c>
    </row>
    <row r="78" spans="1:9" ht="15.75" x14ac:dyDescent="0.5">
      <c r="A78" s="1" t="s">
        <v>27</v>
      </c>
      <c r="B78" s="6">
        <v>44256</v>
      </c>
      <c r="C78" s="6" t="s">
        <v>15</v>
      </c>
      <c r="D78" s="7">
        <v>9308.3089999999993</v>
      </c>
      <c r="E78" s="8">
        <v>289</v>
      </c>
      <c r="F78" s="8">
        <v>2912</v>
      </c>
      <c r="G78" s="8">
        <v>2618</v>
      </c>
      <c r="H78" s="8">
        <v>5819</v>
      </c>
      <c r="I78" s="7">
        <f t="shared" si="1"/>
        <v>15127.308999999999</v>
      </c>
    </row>
    <row r="79" spans="1:9" ht="15.75" x14ac:dyDescent="0.5">
      <c r="A79" s="1" t="s">
        <v>27</v>
      </c>
      <c r="B79" s="6">
        <v>44287</v>
      </c>
      <c r="C79" s="6" t="s">
        <v>16</v>
      </c>
      <c r="D79" s="7">
        <v>8330.2649999999994</v>
      </c>
      <c r="E79" s="8">
        <v>129</v>
      </c>
      <c r="F79" s="8">
        <v>4251</v>
      </c>
      <c r="G79" s="8">
        <v>2627</v>
      </c>
      <c r="H79" s="8">
        <v>7007</v>
      </c>
      <c r="I79" s="7">
        <f t="shared" si="1"/>
        <v>15337.264999999999</v>
      </c>
    </row>
    <row r="80" spans="1:9" ht="15.75" x14ac:dyDescent="0.5">
      <c r="A80" s="1" t="s">
        <v>27</v>
      </c>
      <c r="B80" s="6">
        <v>44317</v>
      </c>
      <c r="C80" s="6" t="s">
        <v>17</v>
      </c>
      <c r="D80" s="7">
        <v>8478.6630000000005</v>
      </c>
      <c r="E80" s="8">
        <v>14</v>
      </c>
      <c r="F80" s="8">
        <v>3432</v>
      </c>
      <c r="G80" s="8">
        <v>2245</v>
      </c>
      <c r="H80" s="8">
        <v>5691</v>
      </c>
      <c r="I80" s="7">
        <f t="shared" si="1"/>
        <v>14169.663</v>
      </c>
    </row>
    <row r="81" spans="1:9" ht="15.75" x14ac:dyDescent="0.5">
      <c r="A81" s="1" t="s">
        <v>27</v>
      </c>
      <c r="B81" s="6">
        <v>44348</v>
      </c>
      <c r="C81" s="6" t="s">
        <v>18</v>
      </c>
      <c r="D81" s="7">
        <v>6336.049</v>
      </c>
      <c r="E81" s="8">
        <v>91</v>
      </c>
      <c r="F81" s="8">
        <v>4171</v>
      </c>
      <c r="G81" s="8">
        <v>1698</v>
      </c>
      <c r="H81" s="8">
        <v>5960</v>
      </c>
      <c r="I81" s="7">
        <f t="shared" si="1"/>
        <v>12296.048999999999</v>
      </c>
    </row>
    <row r="82" spans="1:9" ht="15.75" x14ac:dyDescent="0.5">
      <c r="A82" s="1" t="s">
        <v>27</v>
      </c>
      <c r="B82" s="6">
        <v>44378</v>
      </c>
      <c r="C82" s="6" t="s">
        <v>19</v>
      </c>
      <c r="D82" s="7">
        <v>5475.8760000000002</v>
      </c>
      <c r="E82" s="8">
        <v>1990</v>
      </c>
      <c r="F82" s="8">
        <v>4927</v>
      </c>
      <c r="G82" s="8">
        <v>961</v>
      </c>
      <c r="H82" s="8">
        <v>7878</v>
      </c>
      <c r="I82" s="7">
        <f t="shared" si="1"/>
        <v>13353.876</v>
      </c>
    </row>
    <row r="83" spans="1:9" ht="15.75" x14ac:dyDescent="0.5">
      <c r="A83" s="1" t="s">
        <v>27</v>
      </c>
      <c r="B83" s="6">
        <v>44409</v>
      </c>
      <c r="C83" s="6" t="s">
        <v>20</v>
      </c>
      <c r="D83" s="7">
        <v>3293.279</v>
      </c>
      <c r="E83" s="8">
        <v>4334</v>
      </c>
      <c r="F83" s="8">
        <v>4689</v>
      </c>
      <c r="G83" s="8">
        <v>302</v>
      </c>
      <c r="H83" s="8">
        <v>9325</v>
      </c>
      <c r="I83" s="7">
        <f t="shared" si="1"/>
        <v>12618.279</v>
      </c>
    </row>
    <row r="84" spans="1:9" ht="15.75" x14ac:dyDescent="0.5">
      <c r="A84" s="1" t="s">
        <v>27</v>
      </c>
      <c r="B84" s="6">
        <v>44440</v>
      </c>
      <c r="C84" s="6" t="s">
        <v>21</v>
      </c>
      <c r="D84" s="7">
        <v>2429.0949999999998</v>
      </c>
      <c r="E84" s="8">
        <v>2849</v>
      </c>
      <c r="F84" s="8">
        <v>4350</v>
      </c>
      <c r="G84" s="8">
        <v>165</v>
      </c>
      <c r="H84" s="8">
        <v>7364</v>
      </c>
      <c r="I84" s="7">
        <f t="shared" si="1"/>
        <v>9793.0949999999993</v>
      </c>
    </row>
    <row r="85" spans="1:9" ht="15.75" x14ac:dyDescent="0.5">
      <c r="A85" s="1" t="s">
        <v>28</v>
      </c>
      <c r="B85" s="6">
        <v>44470</v>
      </c>
      <c r="C85" s="6" t="s">
        <v>10</v>
      </c>
      <c r="D85" s="7">
        <v>4028.3270000000002</v>
      </c>
      <c r="E85" s="8">
        <v>1798</v>
      </c>
      <c r="F85" s="8">
        <v>3793</v>
      </c>
      <c r="G85" s="8">
        <v>895</v>
      </c>
      <c r="H85" s="8">
        <v>6486</v>
      </c>
      <c r="I85" s="7">
        <f t="shared" si="1"/>
        <v>10514.327000000001</v>
      </c>
    </row>
    <row r="86" spans="1:9" ht="15.75" x14ac:dyDescent="0.5">
      <c r="A86" s="1" t="s">
        <v>28</v>
      </c>
      <c r="B86" s="6">
        <v>44501</v>
      </c>
      <c r="C86" s="6" t="s">
        <v>11</v>
      </c>
      <c r="D86" s="7">
        <v>4464.8969999999999</v>
      </c>
      <c r="E86" s="8">
        <v>2384</v>
      </c>
      <c r="F86" s="8">
        <v>2477</v>
      </c>
      <c r="G86" s="8">
        <v>3792</v>
      </c>
      <c r="H86" s="8">
        <v>8653</v>
      </c>
      <c r="I86" s="7">
        <f t="shared" si="1"/>
        <v>13117.897000000001</v>
      </c>
    </row>
    <row r="87" spans="1:9" ht="15.75" x14ac:dyDescent="0.5">
      <c r="A87" s="1" t="s">
        <v>28</v>
      </c>
      <c r="B87" s="6">
        <v>44531</v>
      </c>
      <c r="C87" s="6" t="s">
        <v>12</v>
      </c>
      <c r="D87" s="7">
        <v>4708.47</v>
      </c>
      <c r="E87" s="8">
        <v>3440</v>
      </c>
      <c r="F87" s="8">
        <v>2333</v>
      </c>
      <c r="G87" s="8">
        <v>4896</v>
      </c>
      <c r="H87" s="8">
        <v>10669</v>
      </c>
      <c r="I87" s="7">
        <f t="shared" si="1"/>
        <v>15377.470000000001</v>
      </c>
    </row>
    <row r="88" spans="1:9" ht="15.75" x14ac:dyDescent="0.5">
      <c r="A88" s="1" t="s">
        <v>28</v>
      </c>
      <c r="B88" s="6">
        <v>44562</v>
      </c>
      <c r="C88" s="6" t="s">
        <v>13</v>
      </c>
      <c r="D88" s="7">
        <v>5757.13</v>
      </c>
      <c r="E88" s="8">
        <v>2731</v>
      </c>
      <c r="F88" s="8">
        <v>1849</v>
      </c>
      <c r="G88" s="8">
        <v>4500</v>
      </c>
      <c r="H88" s="8">
        <v>9080</v>
      </c>
      <c r="I88" s="7">
        <f t="shared" si="1"/>
        <v>14837.130000000001</v>
      </c>
    </row>
    <row r="89" spans="1:9" ht="15.75" x14ac:dyDescent="0.5">
      <c r="A89" s="1" t="s">
        <v>28</v>
      </c>
      <c r="B89" s="6">
        <v>44593</v>
      </c>
      <c r="C89" s="6" t="s">
        <v>14</v>
      </c>
      <c r="D89" s="7">
        <v>6381.3029999999999</v>
      </c>
      <c r="E89" s="8">
        <v>767</v>
      </c>
      <c r="F89" s="8">
        <v>1747</v>
      </c>
      <c r="G89" s="8">
        <v>3803</v>
      </c>
      <c r="H89" s="8">
        <v>6317</v>
      </c>
      <c r="I89" s="7">
        <f t="shared" si="1"/>
        <v>12698.303</v>
      </c>
    </row>
    <row r="90" spans="1:9" ht="15.75" x14ac:dyDescent="0.5">
      <c r="A90" s="1" t="s">
        <v>28</v>
      </c>
      <c r="B90" s="6">
        <v>44621</v>
      </c>
      <c r="C90" s="6" t="s">
        <v>15</v>
      </c>
      <c r="D90" s="7">
        <v>7458.3670000000002</v>
      </c>
      <c r="E90" s="8">
        <v>14</v>
      </c>
      <c r="F90" s="8">
        <v>3206</v>
      </c>
      <c r="G90" s="8">
        <v>1110</v>
      </c>
      <c r="H90" s="8">
        <v>4330</v>
      </c>
      <c r="I90" s="7">
        <f t="shared" si="1"/>
        <v>11788.367</v>
      </c>
    </row>
    <row r="91" spans="1:9" ht="15.75" x14ac:dyDescent="0.5">
      <c r="A91" s="1" t="s">
        <v>28</v>
      </c>
      <c r="B91" s="6">
        <v>44652</v>
      </c>
      <c r="C91" s="6" t="s">
        <v>16</v>
      </c>
      <c r="D91" s="7">
        <v>6992.5569999999998</v>
      </c>
      <c r="E91" s="8">
        <v>698</v>
      </c>
      <c r="F91" s="8">
        <v>4162</v>
      </c>
      <c r="G91" s="8">
        <v>768</v>
      </c>
      <c r="H91" s="8">
        <v>5628</v>
      </c>
      <c r="I91" s="7">
        <f t="shared" si="1"/>
        <v>12620.557000000001</v>
      </c>
    </row>
    <row r="92" spans="1:9" ht="15.75" x14ac:dyDescent="0.5">
      <c r="A92" s="1" t="s">
        <v>28</v>
      </c>
      <c r="B92" s="6">
        <v>44682</v>
      </c>
      <c r="C92" s="6" t="s">
        <v>17</v>
      </c>
      <c r="D92" s="7">
        <v>7214.74</v>
      </c>
      <c r="E92" s="8">
        <v>1087</v>
      </c>
      <c r="F92" s="8">
        <v>3866</v>
      </c>
      <c r="G92" s="8">
        <v>1139</v>
      </c>
      <c r="H92" s="8">
        <v>6092</v>
      </c>
      <c r="I92" s="7">
        <f t="shared" si="1"/>
        <v>13306.74</v>
      </c>
    </row>
    <row r="93" spans="1:9" ht="15.75" x14ac:dyDescent="0.5">
      <c r="A93" s="1" t="s">
        <v>28</v>
      </c>
      <c r="B93" s="6">
        <v>44713</v>
      </c>
      <c r="C93" s="6" t="s">
        <v>18</v>
      </c>
      <c r="D93" s="7">
        <v>5488.55</v>
      </c>
      <c r="E93" s="8">
        <v>991</v>
      </c>
      <c r="F93" s="8">
        <v>3788</v>
      </c>
      <c r="G93" s="8">
        <v>1212</v>
      </c>
      <c r="H93" s="8">
        <v>5991</v>
      </c>
      <c r="I93" s="7">
        <f t="shared" si="1"/>
        <v>11479.55</v>
      </c>
    </row>
    <row r="94" spans="1:9" ht="15.75" x14ac:dyDescent="0.5">
      <c r="A94" s="1" t="s">
        <v>28</v>
      </c>
      <c r="B94" s="6">
        <v>44743</v>
      </c>
      <c r="C94" s="6" t="s">
        <v>19</v>
      </c>
      <c r="D94" s="7">
        <v>4477.74</v>
      </c>
      <c r="E94" s="8">
        <v>4118</v>
      </c>
      <c r="F94" s="8">
        <v>4963</v>
      </c>
      <c r="G94" s="8">
        <v>1165</v>
      </c>
      <c r="H94" s="8">
        <v>10246</v>
      </c>
      <c r="I94" s="7">
        <f t="shared" si="1"/>
        <v>14723.74</v>
      </c>
    </row>
    <row r="95" spans="1:9" ht="15.75" x14ac:dyDescent="0.5">
      <c r="A95" s="1" t="s">
        <v>28</v>
      </c>
      <c r="B95" s="6">
        <v>44774</v>
      </c>
      <c r="C95" s="6" t="s">
        <v>20</v>
      </c>
      <c r="D95" s="7">
        <v>3325.5520000000001</v>
      </c>
      <c r="E95" s="8">
        <v>7443</v>
      </c>
      <c r="F95" s="8">
        <v>3825</v>
      </c>
      <c r="G95" s="8">
        <v>1532</v>
      </c>
      <c r="H95" s="8">
        <v>12800</v>
      </c>
      <c r="I95" s="7">
        <f t="shared" si="1"/>
        <v>16125.552</v>
      </c>
    </row>
    <row r="96" spans="1:9" ht="15.75" x14ac:dyDescent="0.5">
      <c r="A96" s="1" t="s">
        <v>28</v>
      </c>
      <c r="B96" s="6">
        <v>44805</v>
      </c>
      <c r="C96" s="6" t="s">
        <v>21</v>
      </c>
      <c r="D96" s="7">
        <v>2529.7339999999999</v>
      </c>
      <c r="E96" s="8">
        <v>6419</v>
      </c>
      <c r="F96" s="8">
        <v>2836</v>
      </c>
      <c r="G96" s="8">
        <v>2149</v>
      </c>
      <c r="H96" s="8">
        <v>11404</v>
      </c>
      <c r="I96" s="7">
        <f t="shared" si="1"/>
        <v>13933.734</v>
      </c>
    </row>
    <row r="97" spans="1:9" ht="15.75" x14ac:dyDescent="0.5">
      <c r="A97" s="1" t="s">
        <v>29</v>
      </c>
      <c r="B97" s="6">
        <v>44835</v>
      </c>
      <c r="C97" s="6" t="s">
        <v>10</v>
      </c>
      <c r="D97" s="7">
        <v>2181.837</v>
      </c>
      <c r="E97" s="8">
        <v>6781</v>
      </c>
      <c r="F97" s="8">
        <v>2117</v>
      </c>
      <c r="G97" s="8">
        <v>2205</v>
      </c>
      <c r="H97" s="8">
        <v>11103</v>
      </c>
      <c r="I97" s="7">
        <f t="shared" si="1"/>
        <v>13284.837</v>
      </c>
    </row>
    <row r="98" spans="1:9" ht="15.75" x14ac:dyDescent="0.5">
      <c r="A98" s="1" t="s">
        <v>29</v>
      </c>
      <c r="B98" s="6">
        <v>44866</v>
      </c>
      <c r="C98" s="6" t="s">
        <v>11</v>
      </c>
      <c r="D98" s="7">
        <v>2449.7660000000001</v>
      </c>
      <c r="E98" s="8">
        <v>5887</v>
      </c>
      <c r="F98" s="8">
        <v>1846</v>
      </c>
      <c r="G98" s="8">
        <v>2509</v>
      </c>
      <c r="H98" s="8">
        <v>10242</v>
      </c>
      <c r="I98" s="7">
        <f t="shared" si="1"/>
        <v>12691.766</v>
      </c>
    </row>
    <row r="99" spans="1:9" ht="15.75" x14ac:dyDescent="0.5">
      <c r="A99" s="1" t="s">
        <v>29</v>
      </c>
      <c r="B99" s="6">
        <v>44896</v>
      </c>
      <c r="C99" s="6" t="s">
        <v>12</v>
      </c>
      <c r="D99" s="7">
        <v>3643.5790000000002</v>
      </c>
      <c r="E99" s="8">
        <v>6309</v>
      </c>
      <c r="F99" s="8">
        <v>1475</v>
      </c>
      <c r="G99" s="8">
        <v>3053</v>
      </c>
      <c r="H99" s="8">
        <v>10837</v>
      </c>
      <c r="I99" s="7">
        <f t="shared" si="1"/>
        <v>14480.579</v>
      </c>
    </row>
    <row r="100" spans="1:9" ht="15.75" x14ac:dyDescent="0.5">
      <c r="A100" s="1" t="s">
        <v>29</v>
      </c>
      <c r="B100" s="6">
        <v>44927</v>
      </c>
      <c r="C100" s="6" t="s">
        <v>13</v>
      </c>
      <c r="D100" s="7">
        <v>3103.03</v>
      </c>
      <c r="E100" s="8">
        <v>6138</v>
      </c>
      <c r="F100" s="8">
        <v>1007</v>
      </c>
      <c r="G100" s="8">
        <v>2671</v>
      </c>
      <c r="H100" s="8">
        <v>9816</v>
      </c>
      <c r="I100" s="7">
        <f t="shared" si="1"/>
        <v>12919.03</v>
      </c>
    </row>
    <row r="101" spans="1:9" ht="15.75" x14ac:dyDescent="0.5">
      <c r="A101" s="1" t="s">
        <v>29</v>
      </c>
      <c r="B101" s="6">
        <v>44958</v>
      </c>
      <c r="C101" s="6" t="s">
        <v>14</v>
      </c>
      <c r="D101" s="7">
        <v>3370.4290000000001</v>
      </c>
      <c r="E101" s="8">
        <v>2272</v>
      </c>
      <c r="F101" s="8">
        <v>1592</v>
      </c>
      <c r="G101" s="8">
        <v>3319</v>
      </c>
      <c r="H101" s="8">
        <v>7183</v>
      </c>
      <c r="I101" s="7">
        <f t="shared" si="1"/>
        <v>10553.429</v>
      </c>
    </row>
    <row r="102" spans="1:9" ht="15.75" x14ac:dyDescent="0.5">
      <c r="A102" s="1" t="s">
        <v>29</v>
      </c>
      <c r="B102" s="6">
        <v>44986</v>
      </c>
      <c r="C102" s="6" t="s">
        <v>15</v>
      </c>
      <c r="D102" s="7">
        <v>4878.7380000000003</v>
      </c>
      <c r="E102" s="8">
        <v>1335</v>
      </c>
      <c r="F102" s="8">
        <v>2137</v>
      </c>
      <c r="G102" s="8">
        <v>3799</v>
      </c>
      <c r="H102" s="8">
        <v>7271</v>
      </c>
      <c r="I102" s="7">
        <f t="shared" si="1"/>
        <v>12149.738000000001</v>
      </c>
    </row>
    <row r="103" spans="1:9" ht="15.75" x14ac:dyDescent="0.5">
      <c r="A103" s="1" t="s">
        <v>29</v>
      </c>
      <c r="B103" s="6">
        <v>45017</v>
      </c>
      <c r="C103" s="6" t="s">
        <v>16</v>
      </c>
      <c r="D103" s="7">
        <v>5024.3909999999996</v>
      </c>
      <c r="E103" s="8">
        <v>488</v>
      </c>
      <c r="F103" s="8">
        <v>1659</v>
      </c>
      <c r="G103" s="8">
        <v>2319</v>
      </c>
      <c r="H103" s="8">
        <v>4466</v>
      </c>
      <c r="I103" s="7">
        <f t="shared" si="1"/>
        <v>9490.3909999999996</v>
      </c>
    </row>
    <row r="104" spans="1:9" ht="15.75" x14ac:dyDescent="0.5">
      <c r="A104" s="1" t="s">
        <v>29</v>
      </c>
      <c r="B104" s="6">
        <v>45047</v>
      </c>
      <c r="C104" s="6" t="s">
        <v>17</v>
      </c>
      <c r="D104" s="7">
        <v>6123.4949999999999</v>
      </c>
      <c r="E104" s="8">
        <v>382</v>
      </c>
      <c r="F104" s="8">
        <v>1762</v>
      </c>
      <c r="G104" s="8">
        <v>2201</v>
      </c>
      <c r="H104" s="8">
        <v>4345</v>
      </c>
      <c r="I104" s="7">
        <f t="shared" si="1"/>
        <v>10468.494999999999</v>
      </c>
    </row>
    <row r="105" spans="1:9" ht="15.75" x14ac:dyDescent="0.5">
      <c r="A105" s="1" t="s">
        <v>29</v>
      </c>
      <c r="B105" s="6">
        <v>45078</v>
      </c>
      <c r="C105" s="6" t="s">
        <v>18</v>
      </c>
      <c r="D105" s="7">
        <v>3799.163</v>
      </c>
      <c r="E105" s="8">
        <v>1033</v>
      </c>
      <c r="F105" s="8">
        <v>2335</v>
      </c>
      <c r="G105" s="8">
        <v>2323</v>
      </c>
      <c r="H105" s="8">
        <v>5691</v>
      </c>
      <c r="I105" s="7">
        <f t="shared" si="1"/>
        <v>9490.1630000000005</v>
      </c>
    </row>
    <row r="106" spans="1:9" ht="15.75" x14ac:dyDescent="0.5">
      <c r="A106" s="1" t="s">
        <v>29</v>
      </c>
      <c r="B106" s="6">
        <v>45108</v>
      </c>
      <c r="C106" s="6" t="s">
        <v>19</v>
      </c>
      <c r="D106" s="7">
        <v>2336.5010000000002</v>
      </c>
      <c r="E106" s="8">
        <v>4248</v>
      </c>
      <c r="F106" s="8">
        <v>3055</v>
      </c>
      <c r="G106" s="8">
        <v>1153</v>
      </c>
      <c r="H106" s="8">
        <v>8456</v>
      </c>
      <c r="I106" s="7">
        <f t="shared" si="1"/>
        <v>10792.501</v>
      </c>
    </row>
    <row r="107" spans="1:9" ht="15.75" x14ac:dyDescent="0.5">
      <c r="A107" s="1" t="s">
        <v>29</v>
      </c>
      <c r="B107" s="6">
        <v>45139</v>
      </c>
      <c r="C107" s="6" t="s">
        <v>20</v>
      </c>
      <c r="D107" s="7">
        <v>2667.9119999999998</v>
      </c>
      <c r="E107" s="8">
        <v>9361</v>
      </c>
      <c r="F107" s="8">
        <v>3917</v>
      </c>
      <c r="G107" s="8">
        <v>900</v>
      </c>
      <c r="H107" s="8">
        <v>14178</v>
      </c>
      <c r="I107" s="7">
        <f t="shared" si="1"/>
        <v>16845.912</v>
      </c>
    </row>
    <row r="108" spans="1:9" ht="15.75" x14ac:dyDescent="0.5">
      <c r="A108" s="1" t="s">
        <v>29</v>
      </c>
      <c r="B108" s="6">
        <v>45170</v>
      </c>
      <c r="C108" s="6" t="s">
        <v>21</v>
      </c>
      <c r="D108" s="7">
        <v>3087.9259999999999</v>
      </c>
      <c r="E108" s="8">
        <v>8714</v>
      </c>
      <c r="F108" s="8">
        <v>2832</v>
      </c>
      <c r="G108" s="8">
        <v>630</v>
      </c>
      <c r="H108" s="8">
        <v>12176</v>
      </c>
      <c r="I108" s="7">
        <f t="shared" si="1"/>
        <v>15263.925999999999</v>
      </c>
    </row>
    <row r="109" spans="1:9" ht="15.75" x14ac:dyDescent="0.5">
      <c r="A109" s="1" t="s">
        <v>30</v>
      </c>
      <c r="B109" s="6">
        <v>45200</v>
      </c>
      <c r="C109" s="6" t="s">
        <v>10</v>
      </c>
      <c r="D109" s="7">
        <v>2697.0610000000001</v>
      </c>
      <c r="E109" s="8">
        <v>8456</v>
      </c>
      <c r="F109" s="8">
        <v>1416</v>
      </c>
      <c r="G109" s="8">
        <v>1116</v>
      </c>
      <c r="H109" s="8">
        <v>10988</v>
      </c>
      <c r="I109" s="7">
        <f t="shared" si="1"/>
        <v>13685.061</v>
      </c>
    </row>
    <row r="110" spans="1:9" ht="15.75" x14ac:dyDescent="0.5">
      <c r="A110" s="1" t="s">
        <v>30</v>
      </c>
      <c r="B110" s="6">
        <v>45231</v>
      </c>
      <c r="C110" s="6" t="s">
        <v>11</v>
      </c>
      <c r="D110" s="7">
        <v>3556.8440000000001</v>
      </c>
      <c r="E110" s="8">
        <v>7422</v>
      </c>
      <c r="F110" s="8">
        <v>1052</v>
      </c>
      <c r="G110" s="8">
        <v>2370</v>
      </c>
      <c r="H110" s="8">
        <v>10844</v>
      </c>
      <c r="I110" s="7">
        <f t="shared" si="1"/>
        <v>14400.844000000001</v>
      </c>
    </row>
    <row r="111" spans="1:9" ht="15.75" x14ac:dyDescent="0.5">
      <c r="A111" s="1" t="s">
        <v>30</v>
      </c>
      <c r="B111" s="6">
        <v>45261</v>
      </c>
      <c r="C111" s="6" t="s">
        <v>12</v>
      </c>
      <c r="D111" s="7">
        <v>4670.2730000000001</v>
      </c>
      <c r="E111" s="8">
        <v>6132</v>
      </c>
      <c r="F111" s="8">
        <v>1212</v>
      </c>
      <c r="G111" s="8">
        <v>3445</v>
      </c>
      <c r="H111" s="8">
        <v>10789</v>
      </c>
      <c r="I111" s="7">
        <f t="shared" si="1"/>
        <v>15459.273000000001</v>
      </c>
    </row>
    <row r="112" spans="1:9" ht="15.75" x14ac:dyDescent="0.5">
      <c r="A112" s="1" t="s">
        <v>30</v>
      </c>
      <c r="B112" s="6">
        <v>45292</v>
      </c>
      <c r="C112" s="6" t="s">
        <v>13</v>
      </c>
      <c r="D112" s="9">
        <v>4133.8500000000004</v>
      </c>
      <c r="E112" s="10">
        <v>4874</v>
      </c>
      <c r="F112" s="10">
        <v>1928</v>
      </c>
      <c r="G112" s="10">
        <v>3352</v>
      </c>
      <c r="H112" s="10">
        <v>10154</v>
      </c>
      <c r="I112" s="7">
        <f t="shared" si="1"/>
        <v>14287.85</v>
      </c>
    </row>
    <row r="113" spans="1:9" ht="15.75" x14ac:dyDescent="0.5">
      <c r="A113" s="1" t="s">
        <v>30</v>
      </c>
      <c r="B113" s="6">
        <v>45323</v>
      </c>
      <c r="C113" s="6" t="s">
        <v>14</v>
      </c>
      <c r="D113" s="9">
        <v>4996.9440000000004</v>
      </c>
      <c r="E113" s="10">
        <v>1720</v>
      </c>
      <c r="F113" s="10">
        <v>1930</v>
      </c>
      <c r="G113" s="10">
        <v>3015</v>
      </c>
      <c r="H113" s="10">
        <v>6665</v>
      </c>
      <c r="I113" s="7">
        <f t="shared" si="1"/>
        <v>11661.944</v>
      </c>
    </row>
    <row r="114" spans="1:9" ht="15.75" x14ac:dyDescent="0.5">
      <c r="A114" s="1" t="s">
        <v>30</v>
      </c>
      <c r="B114" s="6">
        <v>45352</v>
      </c>
      <c r="C114" s="6" t="s">
        <v>15</v>
      </c>
      <c r="D114" s="9">
        <v>5993.0119999999997</v>
      </c>
      <c r="E114" s="11">
        <v>427</v>
      </c>
      <c r="F114" s="11">
        <v>3815</v>
      </c>
      <c r="G114" s="11">
        <v>2766</v>
      </c>
      <c r="H114" s="12">
        <v>7008</v>
      </c>
      <c r="I114" s="7">
        <f t="shared" si="1"/>
        <v>13001.011999999999</v>
      </c>
    </row>
    <row r="115" spans="1:9" ht="15.75" x14ac:dyDescent="0.5">
      <c r="A115" s="1" t="s">
        <v>30</v>
      </c>
      <c r="B115" s="6">
        <v>45383</v>
      </c>
      <c r="C115" s="6" t="s">
        <v>16</v>
      </c>
      <c r="D115" s="9">
        <v>6392.835</v>
      </c>
      <c r="E115" s="13">
        <v>64</v>
      </c>
      <c r="F115" s="13">
        <v>4163</v>
      </c>
      <c r="G115" s="13">
        <v>4134</v>
      </c>
      <c r="H115" s="14">
        <v>8361</v>
      </c>
      <c r="I115" s="7">
        <f t="shared" si="1"/>
        <v>14753.834999999999</v>
      </c>
    </row>
    <row r="116" spans="1:9" ht="15.75" x14ac:dyDescent="0.5">
      <c r="A116" s="1" t="s">
        <v>30</v>
      </c>
      <c r="B116" s="6">
        <v>45413</v>
      </c>
      <c r="C116" s="6" t="s">
        <v>17</v>
      </c>
      <c r="D116" s="9">
        <v>5862.91</v>
      </c>
      <c r="E116" s="13">
        <v>412</v>
      </c>
      <c r="F116" s="13">
        <v>3304</v>
      </c>
      <c r="G116" s="13">
        <v>3677</v>
      </c>
      <c r="H116" s="14">
        <v>7393</v>
      </c>
      <c r="I116" s="7">
        <f t="shared" si="1"/>
        <v>13255.91</v>
      </c>
    </row>
    <row r="117" spans="1:9" ht="15.75" x14ac:dyDescent="0.5">
      <c r="A117" s="1" t="s">
        <v>30</v>
      </c>
      <c r="B117" s="6">
        <v>45444</v>
      </c>
      <c r="C117" s="6" t="s">
        <v>18</v>
      </c>
      <c r="D117" s="9">
        <v>5360.8530000000001</v>
      </c>
      <c r="E117" s="13">
        <v>850</v>
      </c>
      <c r="F117" s="13">
        <v>2339</v>
      </c>
      <c r="G117" s="13">
        <v>2806</v>
      </c>
      <c r="H117" s="14">
        <v>5995</v>
      </c>
      <c r="I117" s="7">
        <f t="shared" si="1"/>
        <v>11355.852999999999</v>
      </c>
    </row>
    <row r="118" spans="1:9" ht="15.75" x14ac:dyDescent="0.5">
      <c r="A118" s="1" t="s">
        <v>30</v>
      </c>
      <c r="B118" s="6">
        <v>45474</v>
      </c>
      <c r="C118" s="6" t="s">
        <v>19</v>
      </c>
      <c r="D118" s="9">
        <v>5328.3620000000001</v>
      </c>
      <c r="E118" s="13">
        <v>3552</v>
      </c>
      <c r="F118" s="13">
        <v>4015</v>
      </c>
      <c r="G118" s="13">
        <v>1559</v>
      </c>
      <c r="H118" s="14">
        <v>9126</v>
      </c>
      <c r="I118" s="7">
        <f t="shared" si="1"/>
        <v>14454.362000000001</v>
      </c>
    </row>
    <row r="119" spans="1:9" ht="15.75" x14ac:dyDescent="0.5">
      <c r="A119" s="1" t="s">
        <v>30</v>
      </c>
      <c r="B119" s="6">
        <v>45505</v>
      </c>
      <c r="C119" s="6" t="s">
        <v>20</v>
      </c>
      <c r="D119" s="9">
        <v>5099.9849999999997</v>
      </c>
      <c r="E119" s="13">
        <v>6062</v>
      </c>
      <c r="F119" s="13">
        <v>3001</v>
      </c>
      <c r="G119" s="13">
        <v>774</v>
      </c>
      <c r="H119" s="14">
        <v>9837</v>
      </c>
      <c r="I119" s="7">
        <f t="shared" si="1"/>
        <v>14936.985000000001</v>
      </c>
    </row>
    <row r="120" spans="1:9" ht="15.75" x14ac:dyDescent="0.5">
      <c r="A120" s="1" t="s">
        <v>30</v>
      </c>
      <c r="B120" s="6">
        <v>45536</v>
      </c>
      <c r="C120" s="6" t="s">
        <v>21</v>
      </c>
      <c r="D120" s="9">
        <v>4336.1310000000003</v>
      </c>
      <c r="E120" s="13">
        <v>6418</v>
      </c>
      <c r="F120" s="13">
        <v>3031</v>
      </c>
      <c r="G120" s="13">
        <v>428</v>
      </c>
      <c r="H120" s="13">
        <v>9877</v>
      </c>
      <c r="I120" s="7">
        <f t="shared" si="1"/>
        <v>14213.131000000001</v>
      </c>
    </row>
    <row r="121" spans="1:9" ht="15.75" x14ac:dyDescent="0.5">
      <c r="A121" s="1" t="s">
        <v>31</v>
      </c>
      <c r="B121" s="6">
        <v>45566</v>
      </c>
      <c r="C121" s="6" t="s">
        <v>10</v>
      </c>
      <c r="D121" s="9">
        <v>4017.759</v>
      </c>
      <c r="E121" s="13">
        <v>6392</v>
      </c>
      <c r="F121" s="13">
        <v>2713</v>
      </c>
      <c r="G121" s="13">
        <v>1912</v>
      </c>
      <c r="H121" s="13">
        <v>11017</v>
      </c>
      <c r="I121" s="7">
        <f t="shared" si="1"/>
        <v>15034.759</v>
      </c>
    </row>
    <row r="122" spans="1:9" ht="15.75" x14ac:dyDescent="0.5">
      <c r="A122" s="1" t="s">
        <v>31</v>
      </c>
      <c r="B122" s="6">
        <v>45597</v>
      </c>
      <c r="C122" s="6" t="s">
        <v>11</v>
      </c>
      <c r="D122" s="9">
        <v>4768.0050000000001</v>
      </c>
      <c r="E122" s="13">
        <v>4723</v>
      </c>
      <c r="F122" s="13">
        <v>2323</v>
      </c>
      <c r="G122" s="13">
        <v>2554</v>
      </c>
      <c r="H122" s="13">
        <v>9600</v>
      </c>
      <c r="I122" s="7">
        <f t="shared" si="1"/>
        <v>14368.005000000001</v>
      </c>
    </row>
    <row r="123" spans="1:9" ht="15.75" x14ac:dyDescent="0.5">
      <c r="A123" s="1" t="s">
        <v>31</v>
      </c>
      <c r="B123" s="6">
        <v>45627</v>
      </c>
      <c r="C123" s="6" t="s">
        <v>12</v>
      </c>
      <c r="D123" s="9">
        <v>5429.62</v>
      </c>
      <c r="E123" s="13">
        <v>4298</v>
      </c>
      <c r="F123" s="13">
        <v>2429</v>
      </c>
      <c r="G123" s="13">
        <v>2610</v>
      </c>
      <c r="H123" s="13">
        <v>9337</v>
      </c>
      <c r="I123" s="7">
        <f t="shared" si="1"/>
        <v>14766.619999999999</v>
      </c>
    </row>
    <row r="124" spans="1:9" ht="15.75" x14ac:dyDescent="0.5">
      <c r="A124" s="1" t="s">
        <v>31</v>
      </c>
      <c r="B124" s="6">
        <v>45658</v>
      </c>
      <c r="C124" s="6" t="s">
        <v>13</v>
      </c>
      <c r="D124" s="9">
        <v>6162.009</v>
      </c>
      <c r="E124" s="13">
        <v>3597</v>
      </c>
      <c r="F124" s="13">
        <v>2645</v>
      </c>
      <c r="G124" s="13">
        <v>2478</v>
      </c>
      <c r="H124" s="13">
        <v>8720</v>
      </c>
      <c r="I124" s="7">
        <f t="shared" si="1"/>
        <v>14882.009</v>
      </c>
    </row>
    <row r="125" spans="1:9" ht="15.75" x14ac:dyDescent="0.5">
      <c r="A125" s="1" t="s">
        <v>31</v>
      </c>
      <c r="B125" s="6">
        <v>45689</v>
      </c>
      <c r="C125" s="6" t="s">
        <v>14</v>
      </c>
      <c r="D125" s="9">
        <v>6032.0190000000002</v>
      </c>
      <c r="E125" s="13">
        <v>1439</v>
      </c>
      <c r="F125" s="13">
        <v>2471</v>
      </c>
      <c r="G125" s="13">
        <v>2170</v>
      </c>
      <c r="H125" s="13">
        <v>6080</v>
      </c>
      <c r="I125" s="7">
        <f t="shared" si="1"/>
        <v>12112.019</v>
      </c>
    </row>
    <row r="126" spans="1:9" ht="15.75" x14ac:dyDescent="0.5">
      <c r="A126" s="1" t="s">
        <v>31</v>
      </c>
      <c r="B126" s="6">
        <v>45717</v>
      </c>
      <c r="C126" s="6" t="s">
        <v>15</v>
      </c>
      <c r="D126" s="9">
        <v>7340.8519999999999</v>
      </c>
      <c r="E126" s="14">
        <v>871</v>
      </c>
      <c r="F126" s="14">
        <v>2999</v>
      </c>
      <c r="G126" s="14">
        <v>2390</v>
      </c>
      <c r="H126" s="14">
        <f t="shared" ref="H126:H137" si="2">SUM(E126:G126)</f>
        <v>6260</v>
      </c>
      <c r="I126" s="7">
        <f t="shared" si="1"/>
        <v>13600.851999999999</v>
      </c>
    </row>
    <row r="127" spans="1:9" ht="15.75" x14ac:dyDescent="0.5">
      <c r="A127" s="1" t="s">
        <v>31</v>
      </c>
      <c r="B127" s="6">
        <v>45748</v>
      </c>
      <c r="C127" s="6" t="s">
        <v>16</v>
      </c>
      <c r="D127" s="9">
        <v>7786.8890000000001</v>
      </c>
      <c r="E127" s="14">
        <v>177</v>
      </c>
      <c r="F127" s="14">
        <v>3707</v>
      </c>
      <c r="G127" s="14">
        <v>1567</v>
      </c>
      <c r="H127" s="14">
        <f t="shared" si="2"/>
        <v>5451</v>
      </c>
      <c r="I127" s="7">
        <f t="shared" si="1"/>
        <v>13237.888999999999</v>
      </c>
    </row>
    <row r="128" spans="1:9" ht="15.75" x14ac:dyDescent="0.5">
      <c r="A128" s="1" t="s">
        <v>31</v>
      </c>
      <c r="B128" s="6">
        <v>45778</v>
      </c>
      <c r="C128" s="6" t="s">
        <v>17</v>
      </c>
      <c r="D128" s="9">
        <v>7288.2209999999995</v>
      </c>
      <c r="E128" s="14">
        <v>37</v>
      </c>
      <c r="F128" s="14">
        <v>3192</v>
      </c>
      <c r="G128" s="14">
        <v>2020</v>
      </c>
      <c r="H128" s="14">
        <f t="shared" si="2"/>
        <v>5249</v>
      </c>
      <c r="I128" s="7">
        <f t="shared" si="1"/>
        <v>12537.221</v>
      </c>
    </row>
    <row r="129" spans="1:9" ht="15.75" x14ac:dyDescent="0.5">
      <c r="A129" s="1" t="s">
        <v>31</v>
      </c>
      <c r="B129" s="6">
        <v>45809</v>
      </c>
      <c r="C129" s="6" t="s">
        <v>18</v>
      </c>
      <c r="D129" s="9">
        <v>6746.9520000000002</v>
      </c>
      <c r="E129" s="14">
        <v>368</v>
      </c>
      <c r="F129" s="14">
        <v>3191</v>
      </c>
      <c r="G129" s="14">
        <v>1386</v>
      </c>
      <c r="H129" s="14">
        <f t="shared" si="2"/>
        <v>4945</v>
      </c>
      <c r="I129" s="7">
        <f t="shared" si="1"/>
        <v>11691.952000000001</v>
      </c>
    </row>
    <row r="130" spans="1:9" ht="15.75" x14ac:dyDescent="0.5">
      <c r="A130" s="1" t="s">
        <v>31</v>
      </c>
      <c r="B130" s="6">
        <v>45839</v>
      </c>
      <c r="C130" s="6" t="s">
        <v>19</v>
      </c>
      <c r="D130" s="9">
        <v>6224.4219999999996</v>
      </c>
      <c r="E130" s="14">
        <v>2432</v>
      </c>
      <c r="F130" s="14">
        <v>3935</v>
      </c>
      <c r="G130" s="14">
        <v>617</v>
      </c>
      <c r="H130" s="14">
        <f t="shared" si="2"/>
        <v>6984</v>
      </c>
      <c r="I130" s="7">
        <f t="shared" si="1"/>
        <v>13208.421999999999</v>
      </c>
    </row>
    <row r="131" spans="1:9" ht="15.75" x14ac:dyDescent="0.5">
      <c r="A131" s="1" t="s">
        <v>31</v>
      </c>
      <c r="B131" s="6">
        <v>45870</v>
      </c>
      <c r="C131" s="6" t="s">
        <v>20</v>
      </c>
      <c r="D131" s="14">
        <v>6397</v>
      </c>
      <c r="E131" s="14">
        <v>6867</v>
      </c>
      <c r="F131" s="14">
        <v>2546</v>
      </c>
      <c r="G131" s="14">
        <v>243</v>
      </c>
      <c r="H131" s="14">
        <f t="shared" si="2"/>
        <v>9656</v>
      </c>
      <c r="I131" s="7">
        <f t="shared" ref="I131:I138" si="3">D131+E131+F131+G131</f>
        <v>16053</v>
      </c>
    </row>
    <row r="132" spans="1:9" ht="15.75" x14ac:dyDescent="0.5">
      <c r="A132" s="1" t="s">
        <v>31</v>
      </c>
      <c r="B132" s="6">
        <v>45901</v>
      </c>
      <c r="C132" s="6" t="s">
        <v>21</v>
      </c>
      <c r="D132" s="14">
        <v>6978</v>
      </c>
      <c r="E132" s="14">
        <v>7646</v>
      </c>
      <c r="F132" s="14">
        <v>1865</v>
      </c>
      <c r="G132" s="14">
        <v>41</v>
      </c>
      <c r="H132" s="14">
        <f t="shared" si="2"/>
        <v>9552</v>
      </c>
      <c r="I132" s="7">
        <f t="shared" si="3"/>
        <v>16530</v>
      </c>
    </row>
    <row r="133" spans="1:9" ht="15.75" x14ac:dyDescent="0.5">
      <c r="A133" s="15" t="s">
        <v>32</v>
      </c>
      <c r="B133" s="6">
        <v>45931</v>
      </c>
      <c r="C133" s="6" t="s">
        <v>10</v>
      </c>
      <c r="D133" s="14">
        <v>6800</v>
      </c>
      <c r="E133" s="14">
        <v>6529</v>
      </c>
      <c r="F133" s="14">
        <v>1843</v>
      </c>
      <c r="G133" s="14">
        <v>941</v>
      </c>
      <c r="H133" s="14">
        <f t="shared" si="2"/>
        <v>9313</v>
      </c>
      <c r="I133" s="7">
        <f t="shared" si="3"/>
        <v>16113</v>
      </c>
    </row>
    <row r="134" spans="1:9" ht="15.75" x14ac:dyDescent="0.5">
      <c r="A134" s="15" t="s">
        <v>32</v>
      </c>
      <c r="B134" s="6">
        <v>45962</v>
      </c>
      <c r="C134" s="16" t="s">
        <v>11</v>
      </c>
      <c r="D134" s="14">
        <v>7305.4170000000004</v>
      </c>
      <c r="E134" s="17">
        <v>5350</v>
      </c>
      <c r="F134" s="17">
        <v>1584</v>
      </c>
      <c r="G134" s="14">
        <v>1838</v>
      </c>
      <c r="H134" s="17">
        <f t="shared" si="2"/>
        <v>8772</v>
      </c>
      <c r="I134" s="7">
        <f t="shared" si="3"/>
        <v>16077.417000000001</v>
      </c>
    </row>
    <row r="135" spans="1:9" ht="15.75" x14ac:dyDescent="0.5">
      <c r="A135" s="1" t="s">
        <v>32</v>
      </c>
      <c r="B135" s="6">
        <v>45992</v>
      </c>
      <c r="C135" s="16" t="s">
        <v>12</v>
      </c>
      <c r="D135" s="9">
        <v>7099</v>
      </c>
      <c r="E135" s="17">
        <v>6221</v>
      </c>
      <c r="F135" s="17">
        <v>1333</v>
      </c>
      <c r="G135" s="18">
        <v>2247</v>
      </c>
      <c r="H135" s="17">
        <f t="shared" si="2"/>
        <v>9801</v>
      </c>
      <c r="I135" s="19">
        <f t="shared" si="3"/>
        <v>16900</v>
      </c>
    </row>
    <row r="136" spans="1:9" ht="15.75" x14ac:dyDescent="0.5">
      <c r="A136" s="1" t="s">
        <v>32</v>
      </c>
      <c r="B136" s="6">
        <v>46023</v>
      </c>
      <c r="C136" s="16" t="s">
        <v>13</v>
      </c>
      <c r="D136" s="20">
        <v>6607.7</v>
      </c>
      <c r="E136" s="9">
        <v>4271</v>
      </c>
      <c r="F136" s="9">
        <v>1522</v>
      </c>
      <c r="G136" s="9">
        <v>2811</v>
      </c>
      <c r="H136" s="9">
        <f t="shared" si="2"/>
        <v>8604</v>
      </c>
      <c r="I136" s="21">
        <f t="shared" si="3"/>
        <v>15211.7</v>
      </c>
    </row>
    <row r="137" spans="1:9" ht="15.75" x14ac:dyDescent="0.5">
      <c r="A137" s="1" t="s">
        <v>32</v>
      </c>
      <c r="B137" s="6">
        <v>46054</v>
      </c>
      <c r="C137" s="16" t="s">
        <v>14</v>
      </c>
      <c r="D137" s="22">
        <v>6768.1450000000004</v>
      </c>
      <c r="E137" s="18">
        <v>1580</v>
      </c>
      <c r="F137" s="9">
        <v>1338</v>
      </c>
      <c r="G137" s="18">
        <v>2753.2649999999999</v>
      </c>
      <c r="H137" s="23">
        <f t="shared" si="2"/>
        <v>5671.2649999999994</v>
      </c>
      <c r="I137" s="24">
        <f>D137+E137+F137+G137</f>
        <v>12439.41</v>
      </c>
    </row>
    <row r="138" spans="1:9" ht="15.75" x14ac:dyDescent="0.5">
      <c r="A138" s="1" t="s">
        <v>32</v>
      </c>
      <c r="B138" s="6">
        <v>46082</v>
      </c>
      <c r="C138" s="16" t="s">
        <v>15</v>
      </c>
      <c r="D138" s="22"/>
      <c r="E138" s="9">
        <v>991</v>
      </c>
      <c r="F138" s="25">
        <v>4784</v>
      </c>
      <c r="G138" s="9">
        <v>2732</v>
      </c>
      <c r="H138" s="26">
        <f>SUM(E138:G138)</f>
        <v>8507</v>
      </c>
      <c r="I138" s="24">
        <f t="shared" si="3"/>
        <v>8507</v>
      </c>
    </row>
    <row r="139" spans="1:9" ht="15.75" x14ac:dyDescent="0.5">
      <c r="A139" s="1" t="s">
        <v>32</v>
      </c>
      <c r="B139" s="6">
        <v>46113</v>
      </c>
      <c r="C139" s="16" t="s">
        <v>16</v>
      </c>
      <c r="D139" s="22"/>
      <c r="E139" s="9"/>
      <c r="F139" s="9"/>
      <c r="G139" s="27"/>
      <c r="H139" s="28"/>
      <c r="I139" s="24"/>
    </row>
    <row r="140" spans="1:9" ht="15.75" x14ac:dyDescent="0.5">
      <c r="A140" s="1" t="s">
        <v>32</v>
      </c>
      <c r="B140" s="6">
        <v>46143</v>
      </c>
      <c r="C140" s="16" t="s">
        <v>17</v>
      </c>
      <c r="D140" s="22"/>
      <c r="E140" s="29"/>
      <c r="F140" s="29"/>
      <c r="G140" s="22"/>
      <c r="H140" s="22"/>
      <c r="I140" s="24"/>
    </row>
    <row r="141" spans="1:9" ht="15.75" x14ac:dyDescent="0.5">
      <c r="A141" s="1" t="s">
        <v>32</v>
      </c>
      <c r="B141" s="6">
        <v>46174</v>
      </c>
      <c r="C141" s="16" t="s">
        <v>18</v>
      </c>
      <c r="D141" s="22"/>
      <c r="E141" s="29"/>
      <c r="F141" s="29"/>
      <c r="G141" s="22"/>
      <c r="H141" s="28"/>
      <c r="I141" s="24"/>
    </row>
    <row r="142" spans="1:9" ht="15.75" x14ac:dyDescent="0.5">
      <c r="A142" s="1" t="s">
        <v>32</v>
      </c>
      <c r="B142" s="6">
        <v>46204</v>
      </c>
      <c r="C142" s="16" t="s">
        <v>19</v>
      </c>
      <c r="D142" s="22"/>
      <c r="E142" s="29"/>
      <c r="F142" s="29"/>
      <c r="G142" s="22"/>
      <c r="H142" s="22"/>
      <c r="I142" s="24"/>
    </row>
    <row r="143" spans="1:9" ht="15.75" x14ac:dyDescent="0.5">
      <c r="A143" s="1" t="s">
        <v>32</v>
      </c>
      <c r="B143" s="6">
        <v>46235</v>
      </c>
      <c r="C143" s="16" t="s">
        <v>20</v>
      </c>
      <c r="D143" s="22"/>
      <c r="E143" s="29"/>
      <c r="F143" s="29"/>
      <c r="G143" s="22"/>
      <c r="H143" s="28"/>
      <c r="I143" s="2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93D5C-832C-4872-9E6E-340B5FE9EFAF}">
  <dimension ref="A1:J140"/>
  <sheetViews>
    <sheetView tabSelected="1" workbookViewId="0">
      <pane ySplit="1" topLeftCell="A125" activePane="bottomLeft" state="frozen"/>
      <selection pane="bottomLeft" activeCell="G140" sqref="G140:H140"/>
    </sheetView>
  </sheetViews>
  <sheetFormatPr defaultColWidth="9.1328125" defaultRowHeight="15.75" x14ac:dyDescent="0.5"/>
  <cols>
    <col min="1" max="1" width="12.265625" style="36" bestFit="1" customWidth="1"/>
    <col min="2" max="69" width="17.1328125" style="36" customWidth="1"/>
    <col min="70" max="16384" width="9.1328125" style="36"/>
  </cols>
  <sheetData>
    <row r="1" spans="1:10" ht="42" x14ac:dyDescent="0.5">
      <c r="A1" s="30" t="s">
        <v>0</v>
      </c>
      <c r="B1" s="31" t="s">
        <v>1</v>
      </c>
      <c r="C1" s="31" t="s">
        <v>2</v>
      </c>
      <c r="D1" s="32" t="s">
        <v>3</v>
      </c>
      <c r="E1" s="32" t="s">
        <v>4</v>
      </c>
      <c r="F1" s="32" t="s">
        <v>5</v>
      </c>
      <c r="G1" s="33" t="s">
        <v>7</v>
      </c>
      <c r="H1" s="34" t="s">
        <v>8</v>
      </c>
      <c r="I1" s="32" t="s">
        <v>33</v>
      </c>
      <c r="J1" s="35"/>
    </row>
    <row r="2" spans="1:10" x14ac:dyDescent="0.5">
      <c r="A2" s="30" t="s">
        <v>9</v>
      </c>
      <c r="B2" s="37">
        <v>41913</v>
      </c>
      <c r="C2" s="37" t="s">
        <v>10</v>
      </c>
      <c r="D2" s="38">
        <v>8973.7330000000002</v>
      </c>
      <c r="E2" s="39">
        <v>739.65300000000002</v>
      </c>
      <c r="F2" s="39">
        <v>163.11198999999999</v>
      </c>
      <c r="G2" s="40">
        <f>E2+F2</f>
        <v>902.76499000000001</v>
      </c>
      <c r="H2" s="38">
        <f t="shared" ref="H2:H65" si="0">SUM(D2:F2)</f>
        <v>9876.4979899999998</v>
      </c>
      <c r="I2" s="40">
        <v>4101.8517949999996</v>
      </c>
      <c r="J2" s="41"/>
    </row>
    <row r="3" spans="1:10" x14ac:dyDescent="0.5">
      <c r="A3" s="30" t="s">
        <v>9</v>
      </c>
      <c r="B3" s="37">
        <v>41944</v>
      </c>
      <c r="C3" s="37" t="s">
        <v>11</v>
      </c>
      <c r="D3" s="38">
        <v>11023.136400000001</v>
      </c>
      <c r="E3" s="39">
        <v>176.11699999999999</v>
      </c>
      <c r="F3" s="39">
        <v>7.9275399999999996</v>
      </c>
      <c r="G3" s="40">
        <f t="shared" ref="G3:G66" si="1">E3+F3</f>
        <v>184.04453999999998</v>
      </c>
      <c r="H3" s="38">
        <f t="shared" si="0"/>
        <v>11207.180940000002</v>
      </c>
      <c r="I3" s="40">
        <v>6026.4413530000002</v>
      </c>
      <c r="J3" s="41"/>
    </row>
    <row r="4" spans="1:10" x14ac:dyDescent="0.5">
      <c r="A4" s="30" t="s">
        <v>9</v>
      </c>
      <c r="B4" s="37">
        <v>41974</v>
      </c>
      <c r="C4" s="37" t="s">
        <v>12</v>
      </c>
      <c r="D4" s="38">
        <v>8205.1121000000003</v>
      </c>
      <c r="E4" s="39">
        <v>138.40899999999999</v>
      </c>
      <c r="F4" s="39">
        <v>25.84244</v>
      </c>
      <c r="G4" s="40">
        <f t="shared" si="1"/>
        <v>164.25144</v>
      </c>
      <c r="H4" s="38">
        <f t="shared" si="0"/>
        <v>8369.3635400000003</v>
      </c>
      <c r="I4" s="40">
        <v>8526.8235729999997</v>
      </c>
      <c r="J4" s="41"/>
    </row>
    <row r="5" spans="1:10" x14ac:dyDescent="0.5">
      <c r="A5" s="30" t="s">
        <v>9</v>
      </c>
      <c r="B5" s="37">
        <v>42005</v>
      </c>
      <c r="C5" s="37" t="s">
        <v>13</v>
      </c>
      <c r="D5" s="38">
        <v>6998.4539999999997</v>
      </c>
      <c r="E5" s="39">
        <v>85.221000000000004</v>
      </c>
      <c r="F5" s="39">
        <v>43.522939999999998</v>
      </c>
      <c r="G5" s="40">
        <f t="shared" si="1"/>
        <v>128.74394000000001</v>
      </c>
      <c r="H5" s="38">
        <f t="shared" si="0"/>
        <v>7127.1979399999991</v>
      </c>
      <c r="I5" s="40">
        <v>6875.0577229999999</v>
      </c>
      <c r="J5" s="41"/>
    </row>
    <row r="6" spans="1:10" x14ac:dyDescent="0.5">
      <c r="A6" s="30" t="s">
        <v>9</v>
      </c>
      <c r="B6" s="37">
        <v>42036</v>
      </c>
      <c r="C6" s="37" t="s">
        <v>14</v>
      </c>
      <c r="D6" s="38">
        <v>4532.0280999999995</v>
      </c>
      <c r="E6" s="39">
        <v>868.63499999999999</v>
      </c>
      <c r="F6" s="39">
        <v>9.0276099999999992</v>
      </c>
      <c r="G6" s="40">
        <f t="shared" si="1"/>
        <v>877.66260999999997</v>
      </c>
      <c r="H6" s="38">
        <f t="shared" si="0"/>
        <v>5409.6907099999999</v>
      </c>
      <c r="I6" s="40">
        <v>4263.4137739999996</v>
      </c>
      <c r="J6" s="41"/>
    </row>
    <row r="7" spans="1:10" x14ac:dyDescent="0.5">
      <c r="A7" s="30" t="s">
        <v>9</v>
      </c>
      <c r="B7" s="37">
        <v>42064</v>
      </c>
      <c r="C7" s="37" t="s">
        <v>15</v>
      </c>
      <c r="D7" s="38">
        <v>2560.7485000000001</v>
      </c>
      <c r="E7" s="39">
        <v>5592.0969999999998</v>
      </c>
      <c r="F7" s="39">
        <v>11.29255</v>
      </c>
      <c r="G7" s="40">
        <f t="shared" si="1"/>
        <v>5603.3895499999999</v>
      </c>
      <c r="H7" s="38">
        <f t="shared" si="0"/>
        <v>8164.1380499999996</v>
      </c>
      <c r="I7" s="40">
        <v>4493.0377989999997</v>
      </c>
      <c r="J7" s="41"/>
    </row>
    <row r="8" spans="1:10" x14ac:dyDescent="0.5">
      <c r="A8" s="30" t="s">
        <v>9</v>
      </c>
      <c r="B8" s="37">
        <v>42095</v>
      </c>
      <c r="C8" s="37" t="s">
        <v>16</v>
      </c>
      <c r="D8" s="38">
        <v>1351.7989</v>
      </c>
      <c r="E8" s="39">
        <v>6550.9780000000001</v>
      </c>
      <c r="F8" s="39">
        <v>1339.9629809999999</v>
      </c>
      <c r="G8" s="40">
        <f t="shared" si="1"/>
        <v>7890.9409809999997</v>
      </c>
      <c r="H8" s="38">
        <f t="shared" si="0"/>
        <v>9242.7398809999995</v>
      </c>
      <c r="I8" s="40">
        <v>5309.9545529999996</v>
      </c>
      <c r="J8" s="41"/>
    </row>
    <row r="9" spans="1:10" x14ac:dyDescent="0.5">
      <c r="A9" s="30" t="s">
        <v>9</v>
      </c>
      <c r="B9" s="37">
        <v>42125</v>
      </c>
      <c r="C9" s="37" t="s">
        <v>17</v>
      </c>
      <c r="D9" s="38">
        <v>1197.5979</v>
      </c>
      <c r="E9" s="39">
        <v>9340.9580000000005</v>
      </c>
      <c r="F9" s="39">
        <v>2488.4214219999999</v>
      </c>
      <c r="G9" s="40">
        <f t="shared" si="1"/>
        <v>11829.379422</v>
      </c>
      <c r="H9" s="38">
        <f t="shared" si="0"/>
        <v>13026.977322000001</v>
      </c>
      <c r="I9" s="40">
        <v>6126.975469</v>
      </c>
      <c r="J9" s="41"/>
    </row>
    <row r="10" spans="1:10" x14ac:dyDescent="0.5">
      <c r="A10" s="30" t="s">
        <v>9</v>
      </c>
      <c r="B10" s="37">
        <v>42156</v>
      </c>
      <c r="C10" s="37" t="s">
        <v>18</v>
      </c>
      <c r="D10" s="38">
        <v>936.50099999999998</v>
      </c>
      <c r="E10" s="39">
        <v>9810.1170000000002</v>
      </c>
      <c r="F10" s="39">
        <v>2367.7115709999998</v>
      </c>
      <c r="G10" s="40">
        <f t="shared" si="1"/>
        <v>12177.828571</v>
      </c>
      <c r="H10" s="38">
        <f t="shared" si="0"/>
        <v>13114.329571</v>
      </c>
      <c r="I10" s="40">
        <v>8087.0899170000002</v>
      </c>
      <c r="J10" s="41"/>
    </row>
    <row r="11" spans="1:10" x14ac:dyDescent="0.5">
      <c r="A11" s="30" t="s">
        <v>9</v>
      </c>
      <c r="B11" s="37">
        <v>42186</v>
      </c>
      <c r="C11" s="37" t="s">
        <v>19</v>
      </c>
      <c r="D11" s="38">
        <v>1079.2905000000001</v>
      </c>
      <c r="E11" s="39">
        <v>8440.3179999999993</v>
      </c>
      <c r="F11" s="39">
        <v>1441.411668</v>
      </c>
      <c r="G11" s="40">
        <f t="shared" si="1"/>
        <v>9881.7296679999999</v>
      </c>
      <c r="H11" s="38">
        <f t="shared" si="0"/>
        <v>10961.020167999999</v>
      </c>
      <c r="I11" s="40">
        <v>9500.0133679999999</v>
      </c>
      <c r="J11" s="41"/>
    </row>
    <row r="12" spans="1:10" x14ac:dyDescent="0.5">
      <c r="A12" s="30" t="s">
        <v>9</v>
      </c>
      <c r="B12" s="37">
        <v>42217</v>
      </c>
      <c r="C12" s="37" t="s">
        <v>20</v>
      </c>
      <c r="D12" s="38">
        <v>1159.7558999999999</v>
      </c>
      <c r="E12" s="39">
        <v>5161.8239999999996</v>
      </c>
      <c r="F12" s="39">
        <v>1256.5992120000001</v>
      </c>
      <c r="G12" s="40">
        <f t="shared" si="1"/>
        <v>6418.4232119999997</v>
      </c>
      <c r="H12" s="38">
        <f t="shared" si="0"/>
        <v>7578.1791119999998</v>
      </c>
      <c r="I12" s="40">
        <v>7783.5297449999998</v>
      </c>
      <c r="J12" s="41"/>
    </row>
    <row r="13" spans="1:10" x14ac:dyDescent="0.5">
      <c r="A13" s="30" t="s">
        <v>9</v>
      </c>
      <c r="B13" s="37">
        <v>42248</v>
      </c>
      <c r="C13" s="37" t="s">
        <v>21</v>
      </c>
      <c r="D13" s="38">
        <v>2349.5696000000003</v>
      </c>
      <c r="E13" s="39">
        <v>3704.6280000000002</v>
      </c>
      <c r="F13" s="39">
        <v>1393.4871889999999</v>
      </c>
      <c r="G13" s="40">
        <f t="shared" si="1"/>
        <v>5098.1151890000001</v>
      </c>
      <c r="H13" s="38">
        <f t="shared" si="0"/>
        <v>7447.6847890000008</v>
      </c>
      <c r="I13" s="40">
        <v>7255.4914259999996</v>
      </c>
      <c r="J13" s="41"/>
    </row>
    <row r="14" spans="1:10" x14ac:dyDescent="0.5">
      <c r="A14" s="30" t="s">
        <v>22</v>
      </c>
      <c r="B14" s="37">
        <v>42278</v>
      </c>
      <c r="C14" s="37" t="s">
        <v>10</v>
      </c>
      <c r="D14" s="38">
        <v>10018.270500000001</v>
      </c>
      <c r="E14" s="40">
        <v>2593.8200000000002</v>
      </c>
      <c r="F14" s="40">
        <v>921.188174</v>
      </c>
      <c r="G14" s="40">
        <f t="shared" si="1"/>
        <v>3515.0081740000001</v>
      </c>
      <c r="H14" s="38">
        <f t="shared" si="0"/>
        <v>13533.278674000001</v>
      </c>
      <c r="I14" s="40">
        <v>5531.6962169999997</v>
      </c>
      <c r="J14" s="41"/>
    </row>
    <row r="15" spans="1:10" x14ac:dyDescent="0.5">
      <c r="A15" s="30" t="s">
        <v>22</v>
      </c>
      <c r="B15" s="37">
        <v>42309</v>
      </c>
      <c r="C15" s="37" t="s">
        <v>11</v>
      </c>
      <c r="D15" s="38">
        <v>9169.2691999999988</v>
      </c>
      <c r="E15" s="40">
        <v>1442.8409999999999</v>
      </c>
      <c r="F15" s="40">
        <v>276.67346900000001</v>
      </c>
      <c r="G15" s="40">
        <f t="shared" si="1"/>
        <v>1719.514469</v>
      </c>
      <c r="H15" s="38">
        <f t="shared" si="0"/>
        <v>10888.783668999999</v>
      </c>
      <c r="I15" s="40">
        <v>7393.4502789999997</v>
      </c>
      <c r="J15" s="41"/>
    </row>
    <row r="16" spans="1:10" x14ac:dyDescent="0.5">
      <c r="A16" s="30" t="s">
        <v>22</v>
      </c>
      <c r="B16" s="37">
        <v>42339</v>
      </c>
      <c r="C16" s="37" t="s">
        <v>12</v>
      </c>
      <c r="D16" s="38">
        <v>6798.2859000000008</v>
      </c>
      <c r="E16" s="40">
        <v>731.21400000000006</v>
      </c>
      <c r="F16" s="40">
        <v>75.94744</v>
      </c>
      <c r="G16" s="40">
        <f t="shared" si="1"/>
        <v>807.16144000000008</v>
      </c>
      <c r="H16" s="38">
        <f t="shared" si="0"/>
        <v>7605.4473400000006</v>
      </c>
      <c r="I16" s="40">
        <v>9119.8444770000006</v>
      </c>
      <c r="J16" s="41"/>
    </row>
    <row r="17" spans="1:10" x14ac:dyDescent="0.5">
      <c r="A17" s="30" t="s">
        <v>22</v>
      </c>
      <c r="B17" s="37">
        <v>42370</v>
      </c>
      <c r="C17" s="37" t="s">
        <v>13</v>
      </c>
      <c r="D17" s="38">
        <v>6085.6731</v>
      </c>
      <c r="E17" s="40">
        <v>394.42200000000003</v>
      </c>
      <c r="F17" s="40">
        <v>44.62274</v>
      </c>
      <c r="G17" s="40">
        <f t="shared" si="1"/>
        <v>439.04474000000005</v>
      </c>
      <c r="H17" s="38">
        <f t="shared" si="0"/>
        <v>6524.7178400000003</v>
      </c>
      <c r="I17" s="40">
        <v>5656.896925</v>
      </c>
      <c r="J17" s="41"/>
    </row>
    <row r="18" spans="1:10" x14ac:dyDescent="0.5">
      <c r="A18" s="30" t="s">
        <v>22</v>
      </c>
      <c r="B18" s="37">
        <v>42401</v>
      </c>
      <c r="C18" s="37" t="s">
        <v>14</v>
      </c>
      <c r="D18" s="38">
        <v>5684.9362999999994</v>
      </c>
      <c r="E18" s="40">
        <v>2036.79</v>
      </c>
      <c r="F18" s="40">
        <v>6.3586999999999998</v>
      </c>
      <c r="G18" s="40">
        <f t="shared" si="1"/>
        <v>2043.1487</v>
      </c>
      <c r="H18" s="38">
        <f t="shared" si="0"/>
        <v>7728.0849999999991</v>
      </c>
      <c r="I18" s="40">
        <v>4507.7679509999998</v>
      </c>
      <c r="J18" s="41"/>
    </row>
    <row r="19" spans="1:10" x14ac:dyDescent="0.5">
      <c r="A19" s="30" t="s">
        <v>22</v>
      </c>
      <c r="B19" s="37">
        <v>42430</v>
      </c>
      <c r="C19" s="37" t="s">
        <v>15</v>
      </c>
      <c r="D19" s="38">
        <v>2641.9826000000003</v>
      </c>
      <c r="E19" s="40">
        <v>8373.8349999999991</v>
      </c>
      <c r="F19" s="40">
        <v>32.572330000000001</v>
      </c>
      <c r="G19" s="40">
        <f t="shared" si="1"/>
        <v>8406.40733</v>
      </c>
      <c r="H19" s="38">
        <f t="shared" si="0"/>
        <v>11048.389929999999</v>
      </c>
      <c r="I19" s="40">
        <v>6097.5320469999997</v>
      </c>
      <c r="J19" s="41"/>
    </row>
    <row r="20" spans="1:10" x14ac:dyDescent="0.5">
      <c r="A20" s="42" t="s">
        <v>22</v>
      </c>
      <c r="B20" s="43">
        <v>42461</v>
      </c>
      <c r="C20" s="43" t="s">
        <v>16</v>
      </c>
      <c r="D20" s="44">
        <v>1360.3616999999999</v>
      </c>
      <c r="E20" s="45">
        <v>10085.875</v>
      </c>
      <c r="F20" s="45">
        <v>673.74343899999997</v>
      </c>
      <c r="G20" s="45">
        <f t="shared" si="1"/>
        <v>10759.618439</v>
      </c>
      <c r="H20" s="44">
        <f t="shared" si="0"/>
        <v>12119.980138999999</v>
      </c>
      <c r="I20" s="45">
        <v>7071.1357889999999</v>
      </c>
      <c r="J20" s="46"/>
    </row>
    <row r="21" spans="1:10" x14ac:dyDescent="0.5">
      <c r="A21" s="30" t="s">
        <v>22</v>
      </c>
      <c r="B21" s="37">
        <v>42491</v>
      </c>
      <c r="C21" s="37" t="s">
        <v>17</v>
      </c>
      <c r="D21" s="38">
        <v>887.62330000000009</v>
      </c>
      <c r="E21" s="40">
        <v>9925.1</v>
      </c>
      <c r="F21" s="40">
        <v>2191.079737</v>
      </c>
      <c r="G21" s="40">
        <f t="shared" si="1"/>
        <v>12116.179737</v>
      </c>
      <c r="H21" s="38">
        <f t="shared" si="0"/>
        <v>13003.803037</v>
      </c>
      <c r="I21" s="40">
        <v>7664.1737489999996</v>
      </c>
      <c r="J21" s="41"/>
    </row>
    <row r="22" spans="1:10" x14ac:dyDescent="0.5">
      <c r="A22" s="30" t="s">
        <v>22</v>
      </c>
      <c r="B22" s="37">
        <v>42522</v>
      </c>
      <c r="C22" s="37" t="s">
        <v>18</v>
      </c>
      <c r="D22" s="38">
        <v>1052.4513999999999</v>
      </c>
      <c r="E22" s="40">
        <v>7761.03</v>
      </c>
      <c r="F22" s="40">
        <v>2066.4167630000002</v>
      </c>
      <c r="G22" s="40">
        <f t="shared" si="1"/>
        <v>9827.4467629999999</v>
      </c>
      <c r="H22" s="38">
        <f t="shared" si="0"/>
        <v>10879.898163000002</v>
      </c>
      <c r="I22" s="40">
        <v>7564.8051210000003</v>
      </c>
      <c r="J22" s="41"/>
    </row>
    <row r="23" spans="1:10" x14ac:dyDescent="0.5">
      <c r="A23" s="30" t="s">
        <v>22</v>
      </c>
      <c r="B23" s="37">
        <v>42552</v>
      </c>
      <c r="C23" s="37" t="s">
        <v>19</v>
      </c>
      <c r="D23" s="38">
        <v>2660.0982000000004</v>
      </c>
      <c r="E23" s="40">
        <v>5787.1890000000003</v>
      </c>
      <c r="F23" s="40">
        <v>1327.026382</v>
      </c>
      <c r="G23" s="40">
        <f t="shared" si="1"/>
        <v>7114.2153820000003</v>
      </c>
      <c r="H23" s="38">
        <f t="shared" si="0"/>
        <v>9774.3135820000007</v>
      </c>
      <c r="I23" s="40">
        <v>7757.7859070000004</v>
      </c>
      <c r="J23" s="41"/>
    </row>
    <row r="24" spans="1:10" x14ac:dyDescent="0.5">
      <c r="A24" s="30" t="s">
        <v>22</v>
      </c>
      <c r="B24" s="37">
        <v>42583</v>
      </c>
      <c r="C24" s="37" t="s">
        <v>20</v>
      </c>
      <c r="D24" s="38">
        <v>4160.5652</v>
      </c>
      <c r="E24" s="40">
        <v>3816.1559999999999</v>
      </c>
      <c r="F24" s="40">
        <v>1309.1896939999999</v>
      </c>
      <c r="G24" s="40">
        <f t="shared" si="1"/>
        <v>5125.3456939999996</v>
      </c>
      <c r="H24" s="38">
        <f t="shared" si="0"/>
        <v>9285.9108940000006</v>
      </c>
      <c r="I24" s="40">
        <v>7671.1009160000003</v>
      </c>
      <c r="J24" s="41"/>
    </row>
    <row r="25" spans="1:10" x14ac:dyDescent="0.5">
      <c r="A25" s="30" t="s">
        <v>22</v>
      </c>
      <c r="B25" s="37">
        <v>42614</v>
      </c>
      <c r="C25" s="37" t="s">
        <v>21</v>
      </c>
      <c r="D25" s="38">
        <v>3749.7113999999997</v>
      </c>
      <c r="E25" s="40">
        <v>1441.97</v>
      </c>
      <c r="F25" s="40">
        <v>972.80058499999996</v>
      </c>
      <c r="G25" s="40">
        <f t="shared" si="1"/>
        <v>2414.7705850000002</v>
      </c>
      <c r="H25" s="38">
        <f t="shared" si="0"/>
        <v>6164.4819849999994</v>
      </c>
      <c r="I25" s="40">
        <v>7193.7580969999999</v>
      </c>
      <c r="J25" s="41"/>
    </row>
    <row r="26" spans="1:10" x14ac:dyDescent="0.5">
      <c r="A26" s="30" t="s">
        <v>23</v>
      </c>
      <c r="B26" s="37">
        <v>42644</v>
      </c>
      <c r="C26" s="37" t="s">
        <v>10</v>
      </c>
      <c r="D26" s="38">
        <v>11169.667099999999</v>
      </c>
      <c r="E26" s="40">
        <v>998.08900000000006</v>
      </c>
      <c r="F26" s="40">
        <v>210.13927000000001</v>
      </c>
      <c r="G26" s="40">
        <f t="shared" si="1"/>
        <v>1208.2282700000001</v>
      </c>
      <c r="H26" s="38">
        <f t="shared" si="0"/>
        <v>12377.895369999998</v>
      </c>
      <c r="I26" s="40">
        <v>5213.7220360000001</v>
      </c>
      <c r="J26" s="41"/>
    </row>
    <row r="27" spans="1:10" x14ac:dyDescent="0.5">
      <c r="A27" s="30" t="s">
        <v>23</v>
      </c>
      <c r="B27" s="37">
        <v>42675</v>
      </c>
      <c r="C27" s="37" t="s">
        <v>11</v>
      </c>
      <c r="D27" s="38">
        <v>10363.782999999999</v>
      </c>
      <c r="E27" s="40">
        <v>314.66000000000003</v>
      </c>
      <c r="F27" s="40">
        <v>5.9371600000000004</v>
      </c>
      <c r="G27" s="40">
        <f t="shared" si="1"/>
        <v>320.59716000000003</v>
      </c>
      <c r="H27" s="38">
        <f t="shared" si="0"/>
        <v>10684.380159999999</v>
      </c>
      <c r="I27" s="40">
        <v>7835.4106469999997</v>
      </c>
      <c r="J27" s="41"/>
    </row>
    <row r="28" spans="1:10" x14ac:dyDescent="0.5">
      <c r="A28" s="30" t="s">
        <v>23</v>
      </c>
      <c r="B28" s="37">
        <v>42705</v>
      </c>
      <c r="C28" s="37" t="s">
        <v>12</v>
      </c>
      <c r="D28" s="38">
        <v>7980.1142</v>
      </c>
      <c r="E28" s="40">
        <v>652.72199999999998</v>
      </c>
      <c r="F28" s="40">
        <v>78.2607</v>
      </c>
      <c r="G28" s="40">
        <f t="shared" si="1"/>
        <v>730.98270000000002</v>
      </c>
      <c r="H28" s="38">
        <f t="shared" si="0"/>
        <v>8711.0969000000005</v>
      </c>
      <c r="I28" s="40">
        <v>8996.0809719999997</v>
      </c>
      <c r="J28" s="41"/>
    </row>
    <row r="29" spans="1:10" x14ac:dyDescent="0.5">
      <c r="A29" s="30" t="s">
        <v>23</v>
      </c>
      <c r="B29" s="37">
        <v>42736</v>
      </c>
      <c r="C29" s="37" t="s">
        <v>13</v>
      </c>
      <c r="D29" s="38">
        <v>7015.8137999999999</v>
      </c>
      <c r="E29" s="40">
        <v>911.79700000000003</v>
      </c>
      <c r="F29" s="40">
        <v>87.259659999999997</v>
      </c>
      <c r="G29" s="40">
        <f t="shared" si="1"/>
        <v>999.05665999999997</v>
      </c>
      <c r="H29" s="38">
        <f t="shared" si="0"/>
        <v>8014.8704600000001</v>
      </c>
      <c r="I29" s="40">
        <v>7656.9167909999996</v>
      </c>
      <c r="J29" s="41"/>
    </row>
    <row r="30" spans="1:10" x14ac:dyDescent="0.5">
      <c r="A30" s="30" t="s">
        <v>23</v>
      </c>
      <c r="B30" s="37">
        <v>42767</v>
      </c>
      <c r="C30" s="37" t="s">
        <v>14</v>
      </c>
      <c r="D30" s="38">
        <v>4459.5230000000001</v>
      </c>
      <c r="E30" s="40">
        <v>3509.3820000000001</v>
      </c>
      <c r="F30" s="40">
        <v>24.3369</v>
      </c>
      <c r="G30" s="40">
        <f t="shared" si="1"/>
        <v>3533.7188999999998</v>
      </c>
      <c r="H30" s="38">
        <f t="shared" si="0"/>
        <v>7993.2419000000009</v>
      </c>
      <c r="I30" s="40">
        <v>5537.6950150000002</v>
      </c>
      <c r="J30" s="41"/>
    </row>
    <row r="31" spans="1:10" x14ac:dyDescent="0.5">
      <c r="A31" s="30" t="s">
        <v>23</v>
      </c>
      <c r="B31" s="37">
        <v>42795</v>
      </c>
      <c r="C31" s="37" t="s">
        <v>15</v>
      </c>
      <c r="D31" s="38">
        <v>3219.5651000000003</v>
      </c>
      <c r="E31" s="40">
        <v>8991.1049999999996</v>
      </c>
      <c r="F31" s="40">
        <v>71.788229999999999</v>
      </c>
      <c r="G31" s="40">
        <f t="shared" si="1"/>
        <v>9062.8932299999997</v>
      </c>
      <c r="H31" s="38">
        <f t="shared" si="0"/>
        <v>12282.458329999999</v>
      </c>
      <c r="I31" s="40">
        <v>6326.8369860000003</v>
      </c>
      <c r="J31" s="41"/>
    </row>
    <row r="32" spans="1:10" x14ac:dyDescent="0.5">
      <c r="A32" s="30" t="s">
        <v>23</v>
      </c>
      <c r="B32" s="37">
        <v>42826</v>
      </c>
      <c r="C32" s="37" t="s">
        <v>16</v>
      </c>
      <c r="D32" s="38">
        <v>2458.7142000000003</v>
      </c>
      <c r="E32" s="40">
        <v>10432.121999999999</v>
      </c>
      <c r="F32" s="40">
        <v>846.29147699999999</v>
      </c>
      <c r="G32" s="40">
        <f t="shared" si="1"/>
        <v>11278.413477</v>
      </c>
      <c r="H32" s="38">
        <f t="shared" si="0"/>
        <v>13737.127677</v>
      </c>
      <c r="I32" s="40">
        <v>8013.240374</v>
      </c>
      <c r="J32" s="41"/>
    </row>
    <row r="33" spans="1:10" x14ac:dyDescent="0.5">
      <c r="A33" s="30" t="s">
        <v>23</v>
      </c>
      <c r="B33" s="37">
        <v>42856</v>
      </c>
      <c r="C33" s="37" t="s">
        <v>17</v>
      </c>
      <c r="D33" s="38">
        <v>1450.9294</v>
      </c>
      <c r="E33" s="40">
        <v>10959.868</v>
      </c>
      <c r="F33" s="40">
        <v>1680.322921</v>
      </c>
      <c r="G33" s="40">
        <f t="shared" si="1"/>
        <v>12640.190921000001</v>
      </c>
      <c r="H33" s="38">
        <f t="shared" si="0"/>
        <v>14091.120320999999</v>
      </c>
      <c r="I33" s="40">
        <v>9585.729249</v>
      </c>
      <c r="J33" s="41"/>
    </row>
    <row r="34" spans="1:10" x14ac:dyDescent="0.5">
      <c r="A34" s="30" t="s">
        <v>23</v>
      </c>
      <c r="B34" s="37">
        <v>42887</v>
      </c>
      <c r="C34" s="37" t="s">
        <v>18</v>
      </c>
      <c r="D34" s="38">
        <v>1786.258</v>
      </c>
      <c r="E34" s="40">
        <v>9196.8829999999998</v>
      </c>
      <c r="F34" s="40">
        <v>1461.8776350000001</v>
      </c>
      <c r="G34" s="40">
        <f t="shared" si="1"/>
        <v>10658.760635000001</v>
      </c>
      <c r="H34" s="38">
        <f t="shared" si="0"/>
        <v>12445.018635</v>
      </c>
      <c r="I34" s="40">
        <v>7686.5518869999996</v>
      </c>
      <c r="J34" s="41"/>
    </row>
    <row r="35" spans="1:10" x14ac:dyDescent="0.5">
      <c r="A35" s="30" t="s">
        <v>23</v>
      </c>
      <c r="B35" s="37">
        <v>42917</v>
      </c>
      <c r="C35" s="37" t="s">
        <v>19</v>
      </c>
      <c r="D35" s="38">
        <v>2319.5637000000002</v>
      </c>
      <c r="E35" s="40">
        <v>6954.982</v>
      </c>
      <c r="F35" s="40">
        <v>583.47099500000002</v>
      </c>
      <c r="G35" s="40">
        <f t="shared" si="1"/>
        <v>7538.4529949999996</v>
      </c>
      <c r="H35" s="38">
        <f t="shared" si="0"/>
        <v>9858.0166950000003</v>
      </c>
      <c r="I35" s="40">
        <v>10081.37335</v>
      </c>
      <c r="J35" s="41"/>
    </row>
    <row r="36" spans="1:10" x14ac:dyDescent="0.5">
      <c r="A36" s="30" t="s">
        <v>23</v>
      </c>
      <c r="B36" s="37">
        <v>42948</v>
      </c>
      <c r="C36" s="37" t="s">
        <v>20</v>
      </c>
      <c r="D36" s="38">
        <v>2990.2195999999999</v>
      </c>
      <c r="E36" s="40">
        <v>5959.9350000000004</v>
      </c>
      <c r="F36" s="40">
        <v>885.120046</v>
      </c>
      <c r="G36" s="40">
        <f t="shared" si="1"/>
        <v>6845.0550460000004</v>
      </c>
      <c r="H36" s="38">
        <f t="shared" si="0"/>
        <v>9835.2746459999998</v>
      </c>
      <c r="I36" s="40">
        <v>8449.0858860000008</v>
      </c>
      <c r="J36" s="41"/>
    </row>
    <row r="37" spans="1:10" x14ac:dyDescent="0.5">
      <c r="A37" s="30" t="s">
        <v>23</v>
      </c>
      <c r="B37" s="37">
        <v>42979</v>
      </c>
      <c r="C37" s="37" t="s">
        <v>21</v>
      </c>
      <c r="D37" s="38">
        <v>4504.9764000000005</v>
      </c>
      <c r="E37" s="40">
        <v>4267.9669999999996</v>
      </c>
      <c r="F37" s="40">
        <v>1058.3916409999999</v>
      </c>
      <c r="G37" s="40">
        <f t="shared" si="1"/>
        <v>5326.3586409999998</v>
      </c>
      <c r="H37" s="38">
        <f t="shared" si="0"/>
        <v>9831.3350410000003</v>
      </c>
      <c r="I37" s="40">
        <v>8112.7816009999997</v>
      </c>
      <c r="J37" s="41"/>
    </row>
    <row r="38" spans="1:10" x14ac:dyDescent="0.5">
      <c r="A38" s="30" t="s">
        <v>24</v>
      </c>
      <c r="B38" s="37">
        <v>43009</v>
      </c>
      <c r="C38" s="37" t="s">
        <v>10</v>
      </c>
      <c r="D38" s="38">
        <v>9643.9881000000005</v>
      </c>
      <c r="E38" s="40">
        <v>2486.7150000000001</v>
      </c>
      <c r="F38" s="40">
        <v>480.79296799999997</v>
      </c>
      <c r="G38" s="40">
        <f t="shared" si="1"/>
        <v>2967.5079679999999</v>
      </c>
      <c r="H38" s="38">
        <f t="shared" si="0"/>
        <v>12611.496068</v>
      </c>
      <c r="I38" s="40">
        <v>5854.7468079999999</v>
      </c>
      <c r="J38" s="41"/>
    </row>
    <row r="39" spans="1:10" x14ac:dyDescent="0.5">
      <c r="A39" s="30" t="s">
        <v>24</v>
      </c>
      <c r="B39" s="37">
        <v>43040</v>
      </c>
      <c r="C39" s="37" t="s">
        <v>11</v>
      </c>
      <c r="D39" s="38">
        <v>9188.0439999999999</v>
      </c>
      <c r="E39" s="40">
        <v>2142.6729999999998</v>
      </c>
      <c r="F39" s="40">
        <v>55.161839999999998</v>
      </c>
      <c r="G39" s="40">
        <f t="shared" si="1"/>
        <v>2197.83484</v>
      </c>
      <c r="H39" s="38">
        <f t="shared" si="0"/>
        <v>11385.878840000001</v>
      </c>
      <c r="I39" s="40">
        <v>8682.6950820000002</v>
      </c>
      <c r="J39" s="41"/>
    </row>
    <row r="40" spans="1:10" x14ac:dyDescent="0.5">
      <c r="A40" s="30" t="s">
        <v>24</v>
      </c>
      <c r="B40" s="37">
        <v>43070</v>
      </c>
      <c r="C40" s="37" t="s">
        <v>12</v>
      </c>
      <c r="D40" s="38">
        <v>6224.9060999999992</v>
      </c>
      <c r="E40" s="40">
        <v>2355.3679999999999</v>
      </c>
      <c r="F40" s="40">
        <v>145.15941000000001</v>
      </c>
      <c r="G40" s="40">
        <f t="shared" si="1"/>
        <v>2500.5274100000001</v>
      </c>
      <c r="H40" s="38">
        <f t="shared" si="0"/>
        <v>8725.4335099999989</v>
      </c>
      <c r="I40" s="40">
        <v>9546.6150359999992</v>
      </c>
      <c r="J40" s="41"/>
    </row>
    <row r="41" spans="1:10" x14ac:dyDescent="0.5">
      <c r="A41" s="30" t="s">
        <v>24</v>
      </c>
      <c r="B41" s="37">
        <v>43101</v>
      </c>
      <c r="C41" s="37" t="s">
        <v>13</v>
      </c>
      <c r="D41" s="38">
        <v>5807.2834000000003</v>
      </c>
      <c r="E41" s="40">
        <v>1563.9780000000001</v>
      </c>
      <c r="F41" s="40">
        <v>10.33366</v>
      </c>
      <c r="G41" s="40">
        <f t="shared" si="1"/>
        <v>1574.3116600000001</v>
      </c>
      <c r="H41" s="38">
        <f t="shared" si="0"/>
        <v>7381.5950600000006</v>
      </c>
      <c r="I41" s="40">
        <v>8478.0037639999991</v>
      </c>
      <c r="J41" s="41"/>
    </row>
    <row r="42" spans="1:10" x14ac:dyDescent="0.5">
      <c r="A42" s="30" t="s">
        <v>24</v>
      </c>
      <c r="B42" s="37">
        <v>43132</v>
      </c>
      <c r="C42" s="37" t="s">
        <v>14</v>
      </c>
      <c r="D42" s="38">
        <v>4237.6266999999998</v>
      </c>
      <c r="E42" s="40">
        <v>2864.2510000000002</v>
      </c>
      <c r="F42" s="40">
        <v>6.5961400000000001</v>
      </c>
      <c r="G42" s="40">
        <f t="shared" si="1"/>
        <v>2870.8471400000003</v>
      </c>
      <c r="H42" s="38">
        <f t="shared" si="0"/>
        <v>7108.4738399999997</v>
      </c>
      <c r="I42" s="40">
        <v>5425.9638459999996</v>
      </c>
      <c r="J42" s="41"/>
    </row>
    <row r="43" spans="1:10" x14ac:dyDescent="0.5">
      <c r="A43" s="30" t="s">
        <v>24</v>
      </c>
      <c r="B43" s="37">
        <v>43160</v>
      </c>
      <c r="C43" s="37" t="s">
        <v>15</v>
      </c>
      <c r="D43" s="38">
        <v>3221.5451000000003</v>
      </c>
      <c r="E43" s="40">
        <v>8853.7039999999997</v>
      </c>
      <c r="F43" s="40">
        <v>12.529070000000001</v>
      </c>
      <c r="G43" s="40">
        <f t="shared" si="1"/>
        <v>8866.2330700000002</v>
      </c>
      <c r="H43" s="38">
        <f t="shared" si="0"/>
        <v>12087.778170000001</v>
      </c>
      <c r="I43" s="40">
        <v>5663.8414359999997</v>
      </c>
      <c r="J43" s="41"/>
    </row>
    <row r="44" spans="1:10" x14ac:dyDescent="0.5">
      <c r="A44" s="30" t="s">
        <v>24</v>
      </c>
      <c r="B44" s="37">
        <v>43191</v>
      </c>
      <c r="C44" s="37" t="s">
        <v>16</v>
      </c>
      <c r="D44" s="38">
        <v>2194.4447</v>
      </c>
      <c r="E44" s="40">
        <v>10258.645</v>
      </c>
      <c r="F44" s="40">
        <v>188.11958999999999</v>
      </c>
      <c r="G44" s="40">
        <f t="shared" si="1"/>
        <v>10446.764590000001</v>
      </c>
      <c r="H44" s="38">
        <f t="shared" si="0"/>
        <v>12641.209290000001</v>
      </c>
      <c r="I44" s="40">
        <v>6920.9139690000002</v>
      </c>
      <c r="J44" s="41"/>
    </row>
    <row r="45" spans="1:10" x14ac:dyDescent="0.5">
      <c r="A45" s="30" t="s">
        <v>24</v>
      </c>
      <c r="B45" s="37">
        <v>43221</v>
      </c>
      <c r="C45" s="37" t="s">
        <v>17</v>
      </c>
      <c r="D45" s="38">
        <v>3110.4942999999998</v>
      </c>
      <c r="E45" s="40">
        <v>12353.189</v>
      </c>
      <c r="F45" s="40">
        <v>471.77947</v>
      </c>
      <c r="G45" s="40">
        <f t="shared" si="1"/>
        <v>12824.96847</v>
      </c>
      <c r="H45" s="38">
        <f t="shared" si="0"/>
        <v>15935.46277</v>
      </c>
      <c r="I45" s="40">
        <v>9687.5535619999991</v>
      </c>
      <c r="J45" s="41"/>
    </row>
    <row r="46" spans="1:10" x14ac:dyDescent="0.5">
      <c r="A46" s="30" t="s">
        <v>24</v>
      </c>
      <c r="B46" s="37">
        <v>43252</v>
      </c>
      <c r="C46" s="37" t="s">
        <v>18</v>
      </c>
      <c r="D46" s="38">
        <v>3123.0892999999996</v>
      </c>
      <c r="E46" s="40">
        <v>10420.128000000001</v>
      </c>
      <c r="F46" s="40">
        <v>559.398595</v>
      </c>
      <c r="G46" s="40">
        <f t="shared" si="1"/>
        <v>10979.526595000001</v>
      </c>
      <c r="H46" s="38">
        <f t="shared" si="0"/>
        <v>14102.615895000001</v>
      </c>
      <c r="I46" s="40">
        <v>8698.7162210000006</v>
      </c>
      <c r="J46" s="41"/>
    </row>
    <row r="47" spans="1:10" x14ac:dyDescent="0.5">
      <c r="A47" s="30" t="s">
        <v>24</v>
      </c>
      <c r="B47" s="37">
        <v>43282</v>
      </c>
      <c r="C47" s="37" t="s">
        <v>19</v>
      </c>
      <c r="D47" s="38">
        <v>3425.2962000000002</v>
      </c>
      <c r="E47" s="40">
        <v>10198.696</v>
      </c>
      <c r="F47" s="40">
        <v>45.74615</v>
      </c>
      <c r="G47" s="40">
        <f t="shared" si="1"/>
        <v>10244.442150000001</v>
      </c>
      <c r="H47" s="38">
        <f t="shared" si="0"/>
        <v>13669.738350000001</v>
      </c>
      <c r="I47" s="40">
        <v>7974.0653849999999</v>
      </c>
      <c r="J47" s="41"/>
    </row>
    <row r="48" spans="1:10" x14ac:dyDescent="0.5">
      <c r="A48" s="30" t="s">
        <v>24</v>
      </c>
      <c r="B48" s="37">
        <v>43313</v>
      </c>
      <c r="C48" s="37" t="s">
        <v>20</v>
      </c>
      <c r="D48" s="38">
        <v>3388.9486000000002</v>
      </c>
      <c r="E48" s="40">
        <v>8114.53</v>
      </c>
      <c r="F48" s="40">
        <v>13.304785000000001</v>
      </c>
      <c r="G48" s="40">
        <f t="shared" si="1"/>
        <v>8127.834785</v>
      </c>
      <c r="H48" s="38">
        <f t="shared" si="0"/>
        <v>11516.783385000001</v>
      </c>
      <c r="I48" s="40">
        <v>9150.1838320000006</v>
      </c>
      <c r="J48" s="41"/>
    </row>
    <row r="49" spans="1:10" x14ac:dyDescent="0.5">
      <c r="A49" s="30" t="s">
        <v>24</v>
      </c>
      <c r="B49" s="37">
        <v>43344</v>
      </c>
      <c r="C49" s="37" t="s">
        <v>21</v>
      </c>
      <c r="D49" s="38">
        <v>3335.4227999999998</v>
      </c>
      <c r="E49" s="40">
        <v>4557.03</v>
      </c>
      <c r="F49" s="40">
        <v>121.206495</v>
      </c>
      <c r="G49" s="40">
        <f t="shared" si="1"/>
        <v>4678.2364950000001</v>
      </c>
      <c r="H49" s="38">
        <f t="shared" si="0"/>
        <v>8013.6592949999995</v>
      </c>
      <c r="I49" s="40">
        <v>8009.6095439999999</v>
      </c>
      <c r="J49" s="41"/>
    </row>
    <row r="50" spans="1:10" x14ac:dyDescent="0.5">
      <c r="A50" s="30" t="s">
        <v>25</v>
      </c>
      <c r="B50" s="37">
        <v>43374</v>
      </c>
      <c r="C50" s="37" t="s">
        <v>10</v>
      </c>
      <c r="D50" s="38">
        <v>5457.5376999999999</v>
      </c>
      <c r="E50" s="40">
        <v>5214.2020000000002</v>
      </c>
      <c r="F50" s="40">
        <v>447.06437</v>
      </c>
      <c r="G50" s="40">
        <f t="shared" si="1"/>
        <v>5661.2663700000003</v>
      </c>
      <c r="H50" s="38">
        <f t="shared" si="0"/>
        <v>11118.80407</v>
      </c>
      <c r="I50" s="40">
        <v>6921.0739839999997</v>
      </c>
      <c r="J50" s="41"/>
    </row>
    <row r="51" spans="1:10" x14ac:dyDescent="0.5">
      <c r="A51" s="30" t="s">
        <v>25</v>
      </c>
      <c r="B51" s="37">
        <v>43405</v>
      </c>
      <c r="C51" s="37" t="s">
        <v>11</v>
      </c>
      <c r="D51" s="38">
        <v>4878.6988000000001</v>
      </c>
      <c r="E51" s="40">
        <v>4814.0439999999999</v>
      </c>
      <c r="F51" s="40">
        <v>922.60432300000002</v>
      </c>
      <c r="G51" s="40">
        <f t="shared" si="1"/>
        <v>5736.6483229999994</v>
      </c>
      <c r="H51" s="38">
        <f t="shared" si="0"/>
        <v>10615.347123</v>
      </c>
      <c r="I51" s="40">
        <v>5383.608776</v>
      </c>
      <c r="J51" s="41"/>
    </row>
    <row r="52" spans="1:10" x14ac:dyDescent="0.5">
      <c r="A52" s="30" t="s">
        <v>25</v>
      </c>
      <c r="B52" s="37">
        <v>43435</v>
      </c>
      <c r="C52" s="37" t="s">
        <v>12</v>
      </c>
      <c r="D52" s="38">
        <v>4002.4757999999997</v>
      </c>
      <c r="E52" s="40">
        <v>4070.4349999999999</v>
      </c>
      <c r="F52" s="40">
        <v>872.22091</v>
      </c>
      <c r="G52" s="40">
        <f t="shared" si="1"/>
        <v>4942.6559099999995</v>
      </c>
      <c r="H52" s="38">
        <f t="shared" si="0"/>
        <v>8945.1317099999997</v>
      </c>
      <c r="I52" s="40">
        <v>5723.479824</v>
      </c>
      <c r="J52" s="41"/>
    </row>
    <row r="53" spans="1:10" x14ac:dyDescent="0.5">
      <c r="A53" s="30" t="s">
        <v>25</v>
      </c>
      <c r="B53" s="37">
        <v>43466</v>
      </c>
      <c r="C53" s="37" t="s">
        <v>13</v>
      </c>
      <c r="D53" s="38">
        <v>4807.8480999999992</v>
      </c>
      <c r="E53" s="40">
        <v>2033.94</v>
      </c>
      <c r="F53" s="40">
        <v>140.943365</v>
      </c>
      <c r="G53" s="40">
        <f t="shared" si="1"/>
        <v>2174.8833650000001</v>
      </c>
      <c r="H53" s="38">
        <f t="shared" si="0"/>
        <v>6982.7314649999998</v>
      </c>
      <c r="I53" s="40">
        <v>7376.3443509999997</v>
      </c>
      <c r="J53" s="41"/>
    </row>
    <row r="54" spans="1:10" x14ac:dyDescent="0.5">
      <c r="A54" s="30" t="s">
        <v>25</v>
      </c>
      <c r="B54" s="37">
        <v>43497</v>
      </c>
      <c r="C54" s="37" t="s">
        <v>14</v>
      </c>
      <c r="D54" s="38">
        <v>4522.8804</v>
      </c>
      <c r="E54" s="40">
        <v>5267.152</v>
      </c>
      <c r="F54" s="40">
        <v>2.8823099999999999</v>
      </c>
      <c r="G54" s="40">
        <f t="shared" si="1"/>
        <v>5270.03431</v>
      </c>
      <c r="H54" s="38">
        <f t="shared" si="0"/>
        <v>9792.9147100000009</v>
      </c>
      <c r="I54" s="40">
        <v>4456.019397</v>
      </c>
      <c r="J54" s="41"/>
    </row>
    <row r="55" spans="1:10" x14ac:dyDescent="0.5">
      <c r="A55" s="30" t="s">
        <v>25</v>
      </c>
      <c r="B55" s="37">
        <v>43525</v>
      </c>
      <c r="C55" s="37" t="s">
        <v>15</v>
      </c>
      <c r="D55" s="38">
        <v>3839.0864999999999</v>
      </c>
      <c r="E55" s="40">
        <v>8455.8559999999998</v>
      </c>
      <c r="F55" s="40">
        <v>32.638689999999997</v>
      </c>
      <c r="G55" s="40">
        <f t="shared" si="1"/>
        <v>8488.4946899999995</v>
      </c>
      <c r="H55" s="38">
        <f t="shared" si="0"/>
        <v>12327.581189999999</v>
      </c>
      <c r="I55" s="40">
        <v>4916.000086</v>
      </c>
      <c r="J55" s="41"/>
    </row>
    <row r="56" spans="1:10" x14ac:dyDescent="0.5">
      <c r="A56" s="30" t="s">
        <v>25</v>
      </c>
      <c r="B56" s="37">
        <v>43556</v>
      </c>
      <c r="C56" s="37" t="s">
        <v>16</v>
      </c>
      <c r="D56" s="38">
        <v>2482.2914000000001</v>
      </c>
      <c r="E56" s="40">
        <v>9402.9449999999997</v>
      </c>
      <c r="F56" s="40">
        <v>390.46620899999999</v>
      </c>
      <c r="G56" s="40">
        <f t="shared" si="1"/>
        <v>9793.4112089999999</v>
      </c>
      <c r="H56" s="38">
        <f t="shared" si="0"/>
        <v>12275.702609</v>
      </c>
      <c r="I56" s="40">
        <v>7640.2216959999996</v>
      </c>
      <c r="J56" s="41"/>
    </row>
    <row r="57" spans="1:10" x14ac:dyDescent="0.5">
      <c r="A57" s="30" t="s">
        <v>25</v>
      </c>
      <c r="B57" s="37">
        <v>43586</v>
      </c>
      <c r="C57" s="37" t="s">
        <v>17</v>
      </c>
      <c r="D57" s="38">
        <v>2477.1792</v>
      </c>
      <c r="E57" s="40">
        <v>10012.706</v>
      </c>
      <c r="F57" s="40">
        <v>1850.5381950000001</v>
      </c>
      <c r="G57" s="40">
        <f t="shared" si="1"/>
        <v>11863.244194999999</v>
      </c>
      <c r="H57" s="38">
        <f t="shared" si="0"/>
        <v>14340.423395000002</v>
      </c>
      <c r="I57" s="40">
        <v>7341.7967449999996</v>
      </c>
      <c r="J57" s="41"/>
    </row>
    <row r="58" spans="1:10" x14ac:dyDescent="0.5">
      <c r="A58" s="30" t="s">
        <v>25</v>
      </c>
      <c r="B58" s="37">
        <v>43617</v>
      </c>
      <c r="C58" s="37" t="s">
        <v>18</v>
      </c>
      <c r="D58" s="38">
        <v>3271.6122</v>
      </c>
      <c r="E58" s="40">
        <v>8552.3269999999993</v>
      </c>
      <c r="F58" s="40">
        <v>489.93431500000003</v>
      </c>
      <c r="G58" s="40">
        <f t="shared" si="1"/>
        <v>9042.2613149999997</v>
      </c>
      <c r="H58" s="38">
        <f t="shared" si="0"/>
        <v>12313.873514999999</v>
      </c>
      <c r="I58" s="40">
        <v>6462.081674</v>
      </c>
      <c r="J58" s="41"/>
    </row>
    <row r="59" spans="1:10" x14ac:dyDescent="0.5">
      <c r="A59" s="30" t="s">
        <v>25</v>
      </c>
      <c r="B59" s="37">
        <v>43647</v>
      </c>
      <c r="C59" s="37" t="s">
        <v>19</v>
      </c>
      <c r="D59" s="38">
        <v>3701.9041000000002</v>
      </c>
      <c r="E59" s="40">
        <v>7443.6030000000001</v>
      </c>
      <c r="F59" s="40">
        <v>1351.4908780000001</v>
      </c>
      <c r="G59" s="40">
        <f t="shared" si="1"/>
        <v>8795.0938779999997</v>
      </c>
      <c r="H59" s="38">
        <f t="shared" si="0"/>
        <v>12496.997978000001</v>
      </c>
      <c r="I59" s="40">
        <v>8640.8574590000007</v>
      </c>
      <c r="J59" s="41"/>
    </row>
    <row r="60" spans="1:10" x14ac:dyDescent="0.5">
      <c r="A60" s="30" t="s">
        <v>25</v>
      </c>
      <c r="B60" s="37">
        <v>43678</v>
      </c>
      <c r="C60" s="37" t="s">
        <v>20</v>
      </c>
      <c r="D60" s="38">
        <v>4943.6106</v>
      </c>
      <c r="E60" s="40">
        <v>5001.3540000000003</v>
      </c>
      <c r="F60" s="40">
        <v>978.25813000000005</v>
      </c>
      <c r="G60" s="40">
        <f t="shared" si="1"/>
        <v>5979.6121300000004</v>
      </c>
      <c r="H60" s="38">
        <f t="shared" si="0"/>
        <v>10923.22273</v>
      </c>
      <c r="I60" s="40">
        <v>9480.2360520000002</v>
      </c>
      <c r="J60" s="41"/>
    </row>
    <row r="61" spans="1:10" x14ac:dyDescent="0.5">
      <c r="A61" s="30" t="s">
        <v>25</v>
      </c>
      <c r="B61" s="37">
        <v>43709</v>
      </c>
      <c r="C61" s="37" t="s">
        <v>21</v>
      </c>
      <c r="D61" s="38">
        <v>3912.1448999999998</v>
      </c>
      <c r="E61" s="40">
        <v>4603.6959999999999</v>
      </c>
      <c r="F61" s="40">
        <v>1600.696737</v>
      </c>
      <c r="G61" s="40">
        <f t="shared" si="1"/>
        <v>6204.3927370000001</v>
      </c>
      <c r="H61" s="38">
        <f t="shared" si="0"/>
        <v>10116.537636999999</v>
      </c>
      <c r="I61" s="40">
        <v>8194.7937980000006</v>
      </c>
      <c r="J61" s="41"/>
    </row>
    <row r="62" spans="1:10" x14ac:dyDescent="0.5">
      <c r="A62" s="30" t="s">
        <v>26</v>
      </c>
      <c r="B62" s="37">
        <v>43739</v>
      </c>
      <c r="C62" s="37" t="s">
        <v>10</v>
      </c>
      <c r="D62" s="38">
        <v>5894.0892000000003</v>
      </c>
      <c r="E62" s="40">
        <v>5076.1689999999999</v>
      </c>
      <c r="F62" s="40">
        <v>1553.7943399999999</v>
      </c>
      <c r="G62" s="40">
        <f t="shared" si="1"/>
        <v>6629.9633400000002</v>
      </c>
      <c r="H62" s="38">
        <f t="shared" si="0"/>
        <v>12524.052540000001</v>
      </c>
      <c r="I62" s="40">
        <v>6181.0228639999996</v>
      </c>
      <c r="J62" s="41"/>
    </row>
    <row r="63" spans="1:10" x14ac:dyDescent="0.5">
      <c r="A63" s="30" t="s">
        <v>26</v>
      </c>
      <c r="B63" s="37">
        <v>43770</v>
      </c>
      <c r="C63" s="37" t="s">
        <v>11</v>
      </c>
      <c r="D63" s="38">
        <v>6834.2642999999998</v>
      </c>
      <c r="E63" s="40">
        <v>4940.0290000000005</v>
      </c>
      <c r="F63" s="40">
        <v>1412.835675</v>
      </c>
      <c r="G63" s="40">
        <f t="shared" si="1"/>
        <v>6352.8646750000007</v>
      </c>
      <c r="H63" s="38">
        <f t="shared" si="0"/>
        <v>13187.128975000001</v>
      </c>
      <c r="I63" s="40">
        <v>8281.1352210000005</v>
      </c>
      <c r="J63" s="41"/>
    </row>
    <row r="64" spans="1:10" x14ac:dyDescent="0.5">
      <c r="A64" s="30" t="s">
        <v>26</v>
      </c>
      <c r="B64" s="37">
        <v>43800</v>
      </c>
      <c r="C64" s="37" t="s">
        <v>12</v>
      </c>
      <c r="D64" s="38">
        <v>5669.9890999999998</v>
      </c>
      <c r="E64" s="40">
        <v>3269.1869999999999</v>
      </c>
      <c r="F64" s="40">
        <v>413.73878000000002</v>
      </c>
      <c r="G64" s="40">
        <f t="shared" si="1"/>
        <v>3682.92578</v>
      </c>
      <c r="H64" s="38">
        <f t="shared" si="0"/>
        <v>9352.9148800000003</v>
      </c>
      <c r="I64" s="40">
        <v>9542.3012550000003</v>
      </c>
      <c r="J64" s="41"/>
    </row>
    <row r="65" spans="1:10" x14ac:dyDescent="0.5">
      <c r="A65" s="30" t="s">
        <v>26</v>
      </c>
      <c r="B65" s="37">
        <v>43831</v>
      </c>
      <c r="C65" s="37" t="s">
        <v>13</v>
      </c>
      <c r="D65" s="38">
        <v>5182.3667000000005</v>
      </c>
      <c r="E65" s="40">
        <v>1396.96</v>
      </c>
      <c r="F65" s="40">
        <v>158.04571000000001</v>
      </c>
      <c r="G65" s="40">
        <f t="shared" si="1"/>
        <v>1555.0057100000001</v>
      </c>
      <c r="H65" s="38">
        <f t="shared" si="0"/>
        <v>6737.3724100000009</v>
      </c>
      <c r="I65" s="40">
        <v>8008.4145580000004</v>
      </c>
      <c r="J65" s="41"/>
    </row>
    <row r="66" spans="1:10" x14ac:dyDescent="0.5">
      <c r="A66" s="30" t="s">
        <v>26</v>
      </c>
      <c r="B66" s="37">
        <v>43862</v>
      </c>
      <c r="C66" s="37" t="s">
        <v>14</v>
      </c>
      <c r="D66" s="38">
        <v>2930.6907999999999</v>
      </c>
      <c r="E66" s="40">
        <v>4834.0609999999997</v>
      </c>
      <c r="F66" s="40">
        <v>21.332252</v>
      </c>
      <c r="G66" s="40">
        <f t="shared" si="1"/>
        <v>4855.3932519999998</v>
      </c>
      <c r="H66" s="38">
        <f t="shared" ref="H66:H129" si="2">SUM(D66:F66)</f>
        <v>7786.0840520000002</v>
      </c>
      <c r="I66" s="40">
        <v>5504.3444920000002</v>
      </c>
      <c r="J66" s="41"/>
    </row>
    <row r="67" spans="1:10" x14ac:dyDescent="0.5">
      <c r="A67" s="30" t="s">
        <v>26</v>
      </c>
      <c r="B67" s="37">
        <v>43891</v>
      </c>
      <c r="C67" s="37" t="s">
        <v>15</v>
      </c>
      <c r="D67" s="38">
        <v>2475.2678999999998</v>
      </c>
      <c r="E67" s="40">
        <v>10853.99</v>
      </c>
      <c r="F67" s="40">
        <v>14.697789999999999</v>
      </c>
      <c r="G67" s="40">
        <f t="shared" ref="G67:G130" si="3">E67+F67</f>
        <v>10868.68779</v>
      </c>
      <c r="H67" s="38">
        <f t="shared" si="2"/>
        <v>13343.955690000001</v>
      </c>
      <c r="I67" s="40">
        <v>4277.9327469999998</v>
      </c>
      <c r="J67" s="41"/>
    </row>
    <row r="68" spans="1:10" x14ac:dyDescent="0.5">
      <c r="A68" s="30" t="s">
        <v>26</v>
      </c>
      <c r="B68" s="37">
        <v>43922</v>
      </c>
      <c r="C68" s="37" t="s">
        <v>16</v>
      </c>
      <c r="D68" s="38">
        <v>2222.2242999999999</v>
      </c>
      <c r="E68" s="40">
        <v>14855.315000000001</v>
      </c>
      <c r="F68" s="40">
        <v>689.55374600000005</v>
      </c>
      <c r="G68" s="40">
        <f t="shared" si="3"/>
        <v>15544.868746</v>
      </c>
      <c r="H68" s="38">
        <f t="shared" si="2"/>
        <v>17767.093046000002</v>
      </c>
      <c r="I68" s="40">
        <v>6715.019155</v>
      </c>
      <c r="J68" s="41"/>
    </row>
    <row r="69" spans="1:10" x14ac:dyDescent="0.5">
      <c r="A69" s="30" t="s">
        <v>26</v>
      </c>
      <c r="B69" s="37">
        <v>43952</v>
      </c>
      <c r="C69" s="37" t="s">
        <v>17</v>
      </c>
      <c r="D69" s="38">
        <v>1929.4571000000001</v>
      </c>
      <c r="E69" s="40">
        <v>14108.753000000001</v>
      </c>
      <c r="F69" s="40">
        <v>2173.4882859999998</v>
      </c>
      <c r="G69" s="40">
        <f t="shared" si="3"/>
        <v>16282.241286</v>
      </c>
      <c r="H69" s="38">
        <f t="shared" si="2"/>
        <v>18211.698386</v>
      </c>
      <c r="I69" s="40">
        <v>9376.7200659999999</v>
      </c>
      <c r="J69" s="41"/>
    </row>
    <row r="70" spans="1:10" x14ac:dyDescent="0.5">
      <c r="A70" s="30" t="s">
        <v>26</v>
      </c>
      <c r="B70" s="37">
        <v>43983</v>
      </c>
      <c r="C70" s="37" t="s">
        <v>18</v>
      </c>
      <c r="D70" s="38">
        <v>1779.9788999999998</v>
      </c>
      <c r="E70" s="40">
        <v>12741.829</v>
      </c>
      <c r="F70" s="40">
        <v>1329.8334829999999</v>
      </c>
      <c r="G70" s="40">
        <f t="shared" si="3"/>
        <v>14071.662483</v>
      </c>
      <c r="H70" s="38">
        <f t="shared" si="2"/>
        <v>15851.641383</v>
      </c>
      <c r="I70" s="40">
        <v>11159.078062000001</v>
      </c>
      <c r="J70" s="41"/>
    </row>
    <row r="71" spans="1:10" x14ac:dyDescent="0.5">
      <c r="A71" s="30" t="s">
        <v>26</v>
      </c>
      <c r="B71" s="37">
        <v>44013</v>
      </c>
      <c r="C71" s="37" t="s">
        <v>19</v>
      </c>
      <c r="D71" s="38">
        <v>2305.1202000000003</v>
      </c>
      <c r="E71" s="40">
        <v>9954.7559999999994</v>
      </c>
      <c r="F71" s="40">
        <v>1060.7955460000001</v>
      </c>
      <c r="G71" s="40">
        <f t="shared" si="3"/>
        <v>11015.551545999999</v>
      </c>
      <c r="H71" s="38">
        <f t="shared" si="2"/>
        <v>13320.671745999998</v>
      </c>
      <c r="I71" s="40">
        <v>10092.972884000001</v>
      </c>
      <c r="J71" s="41"/>
    </row>
    <row r="72" spans="1:10" x14ac:dyDescent="0.5">
      <c r="A72" s="30" t="s">
        <v>26</v>
      </c>
      <c r="B72" s="37">
        <v>44044</v>
      </c>
      <c r="C72" s="37" t="s">
        <v>20</v>
      </c>
      <c r="D72" s="38">
        <v>4664.7630999999992</v>
      </c>
      <c r="E72" s="40">
        <v>5833.0690000000004</v>
      </c>
      <c r="F72" s="40">
        <v>984.558356</v>
      </c>
      <c r="G72" s="40">
        <f t="shared" si="3"/>
        <v>6817.6273560000009</v>
      </c>
      <c r="H72" s="38">
        <f t="shared" si="2"/>
        <v>11482.390455999999</v>
      </c>
      <c r="I72" s="40">
        <v>9604.9389429999992</v>
      </c>
      <c r="J72" s="41"/>
    </row>
    <row r="73" spans="1:10" x14ac:dyDescent="0.5">
      <c r="A73" s="30" t="s">
        <v>26</v>
      </c>
      <c r="B73" s="37">
        <v>44075</v>
      </c>
      <c r="C73" s="37" t="s">
        <v>21</v>
      </c>
      <c r="D73" s="38">
        <v>7192.1284000000005</v>
      </c>
      <c r="E73" s="40">
        <v>4258.9690000000001</v>
      </c>
      <c r="F73" s="40">
        <v>170.458406</v>
      </c>
      <c r="G73" s="40">
        <f t="shared" si="3"/>
        <v>4429.4274059999998</v>
      </c>
      <c r="H73" s="38">
        <f t="shared" si="2"/>
        <v>11621.555806</v>
      </c>
      <c r="I73" s="40">
        <v>9788.5322940000005</v>
      </c>
      <c r="J73" s="41"/>
    </row>
    <row r="74" spans="1:10" x14ac:dyDescent="0.5">
      <c r="A74" s="30" t="s">
        <v>27</v>
      </c>
      <c r="B74" s="37">
        <v>44105</v>
      </c>
      <c r="C74" s="37" t="s">
        <v>10</v>
      </c>
      <c r="D74" s="38">
        <v>11588.9954</v>
      </c>
      <c r="E74" s="39">
        <v>2421.9639999999999</v>
      </c>
      <c r="F74" s="39">
        <v>161.71303499999999</v>
      </c>
      <c r="G74" s="40">
        <f t="shared" si="3"/>
        <v>2583.6770349999997</v>
      </c>
      <c r="H74" s="38">
        <f t="shared" si="2"/>
        <v>14172.672435</v>
      </c>
      <c r="I74" s="47">
        <v>8678.7322989999993</v>
      </c>
      <c r="J74" s="41"/>
    </row>
    <row r="75" spans="1:10" x14ac:dyDescent="0.5">
      <c r="A75" s="30" t="s">
        <v>27</v>
      </c>
      <c r="B75" s="37">
        <v>44136</v>
      </c>
      <c r="C75" s="37" t="s">
        <v>11</v>
      </c>
      <c r="D75" s="38">
        <v>10861.9586</v>
      </c>
      <c r="E75" s="39">
        <v>1435.278</v>
      </c>
      <c r="F75" s="39">
        <v>18.617290000000001</v>
      </c>
      <c r="G75" s="40">
        <f t="shared" si="3"/>
        <v>1453.8952899999999</v>
      </c>
      <c r="H75" s="38">
        <f t="shared" si="2"/>
        <v>12315.85389</v>
      </c>
      <c r="I75" s="47">
        <v>9585.1246150000006</v>
      </c>
      <c r="J75" s="41"/>
    </row>
    <row r="76" spans="1:10" x14ac:dyDescent="0.5">
      <c r="A76" s="30" t="s">
        <v>27</v>
      </c>
      <c r="B76" s="37">
        <v>44166</v>
      </c>
      <c r="C76" s="37" t="s">
        <v>12</v>
      </c>
      <c r="D76" s="38">
        <v>10517.316500000001</v>
      </c>
      <c r="E76" s="39">
        <v>274.053</v>
      </c>
      <c r="F76" s="39">
        <v>12.64034</v>
      </c>
      <c r="G76" s="40">
        <f t="shared" si="3"/>
        <v>286.69333999999998</v>
      </c>
      <c r="H76" s="38">
        <f t="shared" si="2"/>
        <v>10804.009840000001</v>
      </c>
      <c r="I76" s="47">
        <v>7522.7010909999999</v>
      </c>
      <c r="J76" s="41"/>
    </row>
    <row r="77" spans="1:10" x14ac:dyDescent="0.5">
      <c r="A77" s="30" t="s">
        <v>27</v>
      </c>
      <c r="B77" s="37">
        <v>44197</v>
      </c>
      <c r="C77" s="37" t="s">
        <v>13</v>
      </c>
      <c r="D77" s="38">
        <v>9030.5053000000007</v>
      </c>
      <c r="E77" s="39">
        <v>49.494</v>
      </c>
      <c r="F77" s="39">
        <v>11.107239999999999</v>
      </c>
      <c r="G77" s="40">
        <f t="shared" si="3"/>
        <v>60.601239999999997</v>
      </c>
      <c r="H77" s="38">
        <f t="shared" si="2"/>
        <v>9091.1065400000007</v>
      </c>
      <c r="I77" s="47">
        <v>7826.2213019999999</v>
      </c>
      <c r="J77" s="41"/>
    </row>
    <row r="78" spans="1:10" x14ac:dyDescent="0.5">
      <c r="A78" s="30" t="s">
        <v>27</v>
      </c>
      <c r="B78" s="37">
        <v>44228</v>
      </c>
      <c r="C78" s="37" t="s">
        <v>14</v>
      </c>
      <c r="D78" s="38">
        <v>4481.2440999999999</v>
      </c>
      <c r="E78" s="39">
        <v>2645.6689999999999</v>
      </c>
      <c r="F78" s="39">
        <v>11.05199</v>
      </c>
      <c r="G78" s="40">
        <f t="shared" si="3"/>
        <v>2656.7209899999998</v>
      </c>
      <c r="H78" s="38">
        <f t="shared" si="2"/>
        <v>7137.9650899999997</v>
      </c>
      <c r="I78" s="47">
        <v>5535.6222230000003</v>
      </c>
      <c r="J78" s="41"/>
    </row>
    <row r="79" spans="1:10" x14ac:dyDescent="0.5">
      <c r="A79" s="30" t="s">
        <v>27</v>
      </c>
      <c r="B79" s="37">
        <v>44256</v>
      </c>
      <c r="C79" s="37" t="s">
        <v>15</v>
      </c>
      <c r="D79" s="38">
        <v>2263.5888</v>
      </c>
      <c r="E79" s="39">
        <v>12694.341</v>
      </c>
      <c r="F79" s="39">
        <v>15.68027</v>
      </c>
      <c r="G79" s="40">
        <f t="shared" si="3"/>
        <v>12710.021270000001</v>
      </c>
      <c r="H79" s="38">
        <f t="shared" si="2"/>
        <v>14973.610070000001</v>
      </c>
      <c r="I79" s="47">
        <v>7711.1446459999997</v>
      </c>
      <c r="J79" s="41"/>
    </row>
    <row r="80" spans="1:10" x14ac:dyDescent="0.5">
      <c r="A80" s="30" t="s">
        <v>27</v>
      </c>
      <c r="B80" s="37">
        <v>44287</v>
      </c>
      <c r="C80" s="37" t="s">
        <v>16</v>
      </c>
      <c r="D80" s="38">
        <v>1357.1922</v>
      </c>
      <c r="E80" s="39">
        <v>16115.651</v>
      </c>
      <c r="F80" s="39">
        <v>441.35638</v>
      </c>
      <c r="G80" s="40">
        <f t="shared" si="3"/>
        <v>16557.007379999999</v>
      </c>
      <c r="H80" s="38">
        <f t="shared" si="2"/>
        <v>17914.19958</v>
      </c>
      <c r="I80" s="47">
        <v>7446.6219799999999</v>
      </c>
      <c r="J80" s="41"/>
    </row>
    <row r="81" spans="1:10" x14ac:dyDescent="0.5">
      <c r="A81" s="30" t="s">
        <v>27</v>
      </c>
      <c r="B81" s="37">
        <v>44317</v>
      </c>
      <c r="C81" s="37" t="s">
        <v>17</v>
      </c>
      <c r="D81" s="38">
        <v>1338.4090000000001</v>
      </c>
      <c r="E81" s="39">
        <v>14964.339</v>
      </c>
      <c r="F81" s="39">
        <v>883.36593600000003</v>
      </c>
      <c r="G81" s="40">
        <f t="shared" si="3"/>
        <v>15847.704936</v>
      </c>
      <c r="H81" s="38">
        <f t="shared" si="2"/>
        <v>17186.113935999998</v>
      </c>
      <c r="I81" s="47">
        <v>9607.4537469999996</v>
      </c>
      <c r="J81" s="41"/>
    </row>
    <row r="82" spans="1:10" x14ac:dyDescent="0.5">
      <c r="A82" s="30" t="s">
        <v>27</v>
      </c>
      <c r="B82" s="37">
        <v>44348</v>
      </c>
      <c r="C82" s="37" t="s">
        <v>18</v>
      </c>
      <c r="D82" s="38">
        <v>924.72950000000003</v>
      </c>
      <c r="E82" s="39">
        <v>11067.263000000001</v>
      </c>
      <c r="F82" s="39">
        <v>516.18440500000008</v>
      </c>
      <c r="G82" s="40">
        <f t="shared" si="3"/>
        <v>11583.447405000001</v>
      </c>
      <c r="H82" s="38">
        <f t="shared" si="2"/>
        <v>12508.176905</v>
      </c>
      <c r="I82" s="47">
        <v>10661.694409</v>
      </c>
      <c r="J82" s="41"/>
    </row>
    <row r="83" spans="1:10" x14ac:dyDescent="0.5">
      <c r="A83" s="30" t="s">
        <v>27</v>
      </c>
      <c r="B83" s="37">
        <v>44378</v>
      </c>
      <c r="C83" s="37" t="s">
        <v>19</v>
      </c>
      <c r="D83" s="38">
        <v>947.77419999999995</v>
      </c>
      <c r="E83" s="39">
        <v>8668.6239999999998</v>
      </c>
      <c r="F83" s="39">
        <v>796.64685999999995</v>
      </c>
      <c r="G83" s="40">
        <f t="shared" si="3"/>
        <v>9465.2708600000005</v>
      </c>
      <c r="H83" s="38">
        <f t="shared" si="2"/>
        <v>10413.04506</v>
      </c>
      <c r="I83" s="47">
        <v>8672.3641179999995</v>
      </c>
      <c r="J83" s="41"/>
    </row>
    <row r="84" spans="1:10" x14ac:dyDescent="0.5">
      <c r="A84" s="30" t="s">
        <v>27</v>
      </c>
      <c r="B84" s="37">
        <v>44409</v>
      </c>
      <c r="C84" s="37" t="s">
        <v>20</v>
      </c>
      <c r="D84" s="38">
        <v>1160.0916999999999</v>
      </c>
      <c r="E84" s="39">
        <v>6480.2510000000002</v>
      </c>
      <c r="F84" s="39">
        <v>1465.9768100000001</v>
      </c>
      <c r="G84" s="40">
        <f t="shared" si="3"/>
        <v>7946.2278100000003</v>
      </c>
      <c r="H84" s="38">
        <f t="shared" si="2"/>
        <v>9106.3195100000012</v>
      </c>
      <c r="I84" s="47">
        <v>9463.7864320000008</v>
      </c>
      <c r="J84" s="41"/>
    </row>
    <row r="85" spans="1:10" x14ac:dyDescent="0.5">
      <c r="A85" s="30" t="s">
        <v>27</v>
      </c>
      <c r="B85" s="37">
        <v>44440</v>
      </c>
      <c r="C85" s="37" t="s">
        <v>21</v>
      </c>
      <c r="D85" s="38">
        <v>2099.0655999999999</v>
      </c>
      <c r="E85" s="39">
        <v>4822.4399999999996</v>
      </c>
      <c r="F85" s="39">
        <v>833.14237000000003</v>
      </c>
      <c r="G85" s="40">
        <f t="shared" si="3"/>
        <v>5655.5823700000001</v>
      </c>
      <c r="H85" s="38">
        <f t="shared" si="2"/>
        <v>7754.64797</v>
      </c>
      <c r="I85" s="47">
        <v>6876.2254620000003</v>
      </c>
      <c r="J85" s="41"/>
    </row>
    <row r="86" spans="1:10" x14ac:dyDescent="0.5">
      <c r="A86" s="30" t="s">
        <v>28</v>
      </c>
      <c r="B86" s="37">
        <v>44470</v>
      </c>
      <c r="C86" s="37" t="s">
        <v>10</v>
      </c>
      <c r="D86" s="38">
        <v>10694.811699999998</v>
      </c>
      <c r="E86" s="39">
        <v>3292.652</v>
      </c>
      <c r="F86" s="39">
        <v>355.63409000000001</v>
      </c>
      <c r="G86" s="40">
        <f t="shared" si="3"/>
        <v>3648.2860900000001</v>
      </c>
      <c r="H86" s="38">
        <f t="shared" si="2"/>
        <v>14343.097789999998</v>
      </c>
      <c r="I86" s="47">
        <v>5107.7880059999998</v>
      </c>
      <c r="J86" s="41"/>
    </row>
    <row r="87" spans="1:10" x14ac:dyDescent="0.5">
      <c r="A87" s="30" t="s">
        <v>28</v>
      </c>
      <c r="B87" s="37">
        <v>44501</v>
      </c>
      <c r="C87" s="37" t="s">
        <v>11</v>
      </c>
      <c r="D87" s="38">
        <v>10679.456699999999</v>
      </c>
      <c r="E87" s="39">
        <v>2586.7979999999998</v>
      </c>
      <c r="F87" s="39">
        <v>32.336010000000002</v>
      </c>
      <c r="G87" s="40">
        <f t="shared" si="3"/>
        <v>2619.1340099999998</v>
      </c>
      <c r="H87" s="38">
        <f t="shared" si="2"/>
        <v>13298.590709999999</v>
      </c>
      <c r="I87" s="47">
        <v>8238.2200560000001</v>
      </c>
      <c r="J87" s="41"/>
    </row>
    <row r="88" spans="1:10" x14ac:dyDescent="0.5">
      <c r="A88" s="30" t="s">
        <v>28</v>
      </c>
      <c r="B88" s="37">
        <v>44531</v>
      </c>
      <c r="C88" s="37" t="s">
        <v>12</v>
      </c>
      <c r="D88" s="38">
        <v>7936.6127000000006</v>
      </c>
      <c r="E88" s="39">
        <v>2714.5639999999999</v>
      </c>
      <c r="F88" s="39">
        <v>6.9585820000000007</v>
      </c>
      <c r="G88" s="40">
        <f t="shared" si="3"/>
        <v>2721.5225820000001</v>
      </c>
      <c r="H88" s="38">
        <f t="shared" si="2"/>
        <v>10658.135281999999</v>
      </c>
      <c r="I88" s="47">
        <v>8578.3396260000009</v>
      </c>
      <c r="J88" s="41"/>
    </row>
    <row r="89" spans="1:10" x14ac:dyDescent="0.5">
      <c r="A89" s="30" t="s">
        <v>28</v>
      </c>
      <c r="B89" s="37">
        <v>44562</v>
      </c>
      <c r="C89" s="37" t="s">
        <v>13</v>
      </c>
      <c r="D89" s="38">
        <v>6529.2708000000002</v>
      </c>
      <c r="E89" s="39">
        <v>2451.8249999999998</v>
      </c>
      <c r="F89" s="39">
        <v>4.2640500000000001</v>
      </c>
      <c r="G89" s="40">
        <f t="shared" si="3"/>
        <v>2456.08905</v>
      </c>
      <c r="H89" s="38">
        <f t="shared" si="2"/>
        <v>8985.3598499999989</v>
      </c>
      <c r="I89" s="47">
        <v>8713.2290109999994</v>
      </c>
      <c r="J89" s="41"/>
    </row>
    <row r="90" spans="1:10" x14ac:dyDescent="0.5">
      <c r="A90" s="30" t="s">
        <v>28</v>
      </c>
      <c r="B90" s="37">
        <v>44593</v>
      </c>
      <c r="C90" s="37" t="s">
        <v>14</v>
      </c>
      <c r="D90" s="38">
        <v>3809.0001000000002</v>
      </c>
      <c r="E90" s="39">
        <v>6271.4049999999997</v>
      </c>
      <c r="F90" s="39">
        <v>5.7866879999999998</v>
      </c>
      <c r="G90" s="40">
        <f t="shared" si="3"/>
        <v>6277.1916879999999</v>
      </c>
      <c r="H90" s="38">
        <f t="shared" si="2"/>
        <v>10086.191788</v>
      </c>
      <c r="I90" s="47">
        <v>4567.8034420000004</v>
      </c>
      <c r="J90" s="41"/>
    </row>
    <row r="91" spans="1:10" x14ac:dyDescent="0.5">
      <c r="A91" s="30" t="s">
        <v>28</v>
      </c>
      <c r="B91" s="37">
        <v>44621</v>
      </c>
      <c r="C91" s="37" t="s">
        <v>15</v>
      </c>
      <c r="D91" s="38">
        <v>3018.4285</v>
      </c>
      <c r="E91" s="39">
        <v>12189.434999999999</v>
      </c>
      <c r="F91" s="39">
        <v>5.4687900000000003</v>
      </c>
      <c r="G91" s="40">
        <f t="shared" si="3"/>
        <v>12194.90379</v>
      </c>
      <c r="H91" s="38">
        <f t="shared" si="2"/>
        <v>15213.33229</v>
      </c>
      <c r="I91" s="47">
        <v>5817.6881880000001</v>
      </c>
      <c r="J91" s="41"/>
    </row>
    <row r="92" spans="1:10" x14ac:dyDescent="0.5">
      <c r="A92" s="30" t="s">
        <v>28</v>
      </c>
      <c r="B92" s="37">
        <v>44652</v>
      </c>
      <c r="C92" s="37" t="s">
        <v>16</v>
      </c>
      <c r="D92" s="38">
        <v>3550.9903999999997</v>
      </c>
      <c r="E92" s="39">
        <v>11473.992</v>
      </c>
      <c r="F92" s="39">
        <v>6.3542299999999994</v>
      </c>
      <c r="G92" s="40">
        <f t="shared" si="3"/>
        <v>11480.346230000001</v>
      </c>
      <c r="H92" s="38">
        <f t="shared" si="2"/>
        <v>15031.336630000002</v>
      </c>
      <c r="I92" s="47">
        <v>8067.2198369999996</v>
      </c>
      <c r="J92" s="41"/>
    </row>
    <row r="93" spans="1:10" x14ac:dyDescent="0.5">
      <c r="A93" s="30" t="s">
        <v>28</v>
      </c>
      <c r="B93" s="37">
        <v>44682</v>
      </c>
      <c r="C93" s="37" t="s">
        <v>17</v>
      </c>
      <c r="D93" s="38">
        <v>2448.8762000000002</v>
      </c>
      <c r="E93" s="39">
        <v>10636.038</v>
      </c>
      <c r="F93" s="39">
        <v>217.90907000000001</v>
      </c>
      <c r="G93" s="40">
        <f t="shared" si="3"/>
        <v>10853.94707</v>
      </c>
      <c r="H93" s="38">
        <f t="shared" si="2"/>
        <v>13302.823270000001</v>
      </c>
      <c r="I93" s="47">
        <v>9673.2777399999995</v>
      </c>
      <c r="J93" s="41"/>
    </row>
    <row r="94" spans="1:10" x14ac:dyDescent="0.5">
      <c r="A94" s="30" t="s">
        <v>28</v>
      </c>
      <c r="B94" s="37">
        <v>44713</v>
      </c>
      <c r="C94" s="37" t="s">
        <v>18</v>
      </c>
      <c r="D94" s="38">
        <v>2256.761</v>
      </c>
      <c r="E94" s="39">
        <v>9989.473</v>
      </c>
      <c r="F94" s="39">
        <v>283.05961500000001</v>
      </c>
      <c r="G94" s="40">
        <f t="shared" si="3"/>
        <v>10272.532615</v>
      </c>
      <c r="H94" s="38">
        <f t="shared" si="2"/>
        <v>12529.293615000001</v>
      </c>
      <c r="I94" s="47">
        <v>8247.1769669999994</v>
      </c>
      <c r="J94" s="41"/>
    </row>
    <row r="95" spans="1:10" x14ac:dyDescent="0.5">
      <c r="A95" s="30" t="s">
        <v>28</v>
      </c>
      <c r="B95" s="37">
        <v>44743</v>
      </c>
      <c r="C95" s="37" t="s">
        <v>19</v>
      </c>
      <c r="D95" s="38">
        <v>2315.5817000000002</v>
      </c>
      <c r="E95" s="39">
        <v>7508.5240000000003</v>
      </c>
      <c r="F95" s="39">
        <v>431.76593500000001</v>
      </c>
      <c r="G95" s="40">
        <f t="shared" si="3"/>
        <v>7940.2899350000007</v>
      </c>
      <c r="H95" s="38">
        <f t="shared" si="2"/>
        <v>10255.871635</v>
      </c>
      <c r="I95" s="47">
        <v>7882.891165</v>
      </c>
      <c r="J95" s="41"/>
    </row>
    <row r="96" spans="1:10" x14ac:dyDescent="0.5">
      <c r="A96" s="30" t="s">
        <v>28</v>
      </c>
      <c r="B96" s="37">
        <v>44774</v>
      </c>
      <c r="C96" s="37" t="s">
        <v>20</v>
      </c>
      <c r="D96" s="38">
        <v>3231.4557999999997</v>
      </c>
      <c r="E96" s="39">
        <v>5943.3710000000001</v>
      </c>
      <c r="F96" s="39">
        <v>330.90032500000001</v>
      </c>
      <c r="G96" s="40">
        <f t="shared" si="3"/>
        <v>6274.2713249999997</v>
      </c>
      <c r="H96" s="38">
        <f t="shared" si="2"/>
        <v>9505.7271249999994</v>
      </c>
      <c r="I96" s="47">
        <v>7163.0332010000002</v>
      </c>
      <c r="J96" s="41"/>
    </row>
    <row r="97" spans="1:10" x14ac:dyDescent="0.5">
      <c r="A97" s="30" t="s">
        <v>28</v>
      </c>
      <c r="B97" s="37">
        <v>44805</v>
      </c>
      <c r="C97" s="37" t="s">
        <v>21</v>
      </c>
      <c r="D97" s="38">
        <v>2077.8373000000001</v>
      </c>
      <c r="E97" s="39">
        <v>4000.5720000000001</v>
      </c>
      <c r="F97" s="39">
        <v>1163.9455249999999</v>
      </c>
      <c r="G97" s="40">
        <f t="shared" si="3"/>
        <v>5164.5175250000002</v>
      </c>
      <c r="H97" s="38">
        <f t="shared" si="2"/>
        <v>7242.3548250000003</v>
      </c>
      <c r="I97" s="47">
        <v>7647.1779800000004</v>
      </c>
      <c r="J97" s="41"/>
    </row>
    <row r="98" spans="1:10" x14ac:dyDescent="0.5">
      <c r="A98" s="30" t="s">
        <v>29</v>
      </c>
      <c r="B98" s="37">
        <v>44835</v>
      </c>
      <c r="C98" s="37" t="s">
        <v>10</v>
      </c>
      <c r="D98" s="38">
        <v>9946.8225000000002</v>
      </c>
      <c r="E98" s="39">
        <v>3797.7930000000001</v>
      </c>
      <c r="F98" s="39">
        <v>2117.7494530000004</v>
      </c>
      <c r="G98" s="40">
        <f t="shared" si="3"/>
        <v>5915.542453</v>
      </c>
      <c r="H98" s="38">
        <f t="shared" si="2"/>
        <v>15862.364953</v>
      </c>
      <c r="I98" s="47">
        <v>4120.1981999999998</v>
      </c>
      <c r="J98" s="41"/>
    </row>
    <row r="99" spans="1:10" x14ac:dyDescent="0.5">
      <c r="A99" s="30" t="s">
        <v>29</v>
      </c>
      <c r="B99" s="37">
        <v>44866</v>
      </c>
      <c r="C99" s="37" t="s">
        <v>11</v>
      </c>
      <c r="D99" s="38">
        <v>9751.8484000000008</v>
      </c>
      <c r="E99" s="39">
        <v>2524.6010000000001</v>
      </c>
      <c r="F99" s="39">
        <v>890.76239499999997</v>
      </c>
      <c r="G99" s="40">
        <f t="shared" si="3"/>
        <v>3415.3633950000003</v>
      </c>
      <c r="H99" s="38">
        <f t="shared" si="2"/>
        <v>13167.211795000001</v>
      </c>
      <c r="I99" s="47">
        <v>7211.6352550000001</v>
      </c>
      <c r="J99" s="41"/>
    </row>
    <row r="100" spans="1:10" x14ac:dyDescent="0.5">
      <c r="A100" s="30" t="s">
        <v>29</v>
      </c>
      <c r="B100" s="37">
        <v>44896</v>
      </c>
      <c r="C100" s="37" t="s">
        <v>12</v>
      </c>
      <c r="D100" s="38">
        <v>7961.4861000000001</v>
      </c>
      <c r="E100" s="39">
        <v>1951.702</v>
      </c>
      <c r="F100" s="39">
        <v>47.751649999999998</v>
      </c>
      <c r="G100" s="40">
        <f t="shared" si="3"/>
        <v>1999.4536499999999</v>
      </c>
      <c r="H100" s="38">
        <f t="shared" si="2"/>
        <v>9960.9397499999995</v>
      </c>
      <c r="I100" s="47">
        <v>10106.367469000001</v>
      </c>
      <c r="J100" s="41"/>
    </row>
    <row r="101" spans="1:10" x14ac:dyDescent="0.5">
      <c r="A101" s="30" t="s">
        <v>29</v>
      </c>
      <c r="B101" s="37">
        <v>44927</v>
      </c>
      <c r="C101" s="37" t="s">
        <v>13</v>
      </c>
      <c r="D101" s="38">
        <v>8245.8158000000003</v>
      </c>
      <c r="E101" s="39">
        <v>839.58500000000004</v>
      </c>
      <c r="F101" s="39">
        <v>1.5247599999999999</v>
      </c>
      <c r="G101" s="40">
        <f t="shared" si="3"/>
        <v>841.10976000000005</v>
      </c>
      <c r="H101" s="38">
        <f t="shared" si="2"/>
        <v>9086.9255599999997</v>
      </c>
      <c r="I101" s="47">
        <v>8002.4620750000004</v>
      </c>
      <c r="J101" s="41"/>
    </row>
    <row r="102" spans="1:10" x14ac:dyDescent="0.5">
      <c r="A102" s="30" t="s">
        <v>29</v>
      </c>
      <c r="B102" s="37">
        <v>44958</v>
      </c>
      <c r="C102" s="37" t="s">
        <v>14</v>
      </c>
      <c r="D102" s="38">
        <v>5470.5517</v>
      </c>
      <c r="E102" s="39">
        <v>5017.83</v>
      </c>
      <c r="F102" s="39">
        <v>39.841999999999999</v>
      </c>
      <c r="G102" s="40">
        <f t="shared" si="3"/>
        <v>5057.6719999999996</v>
      </c>
      <c r="H102" s="38">
        <f t="shared" si="2"/>
        <v>10528.2237</v>
      </c>
      <c r="I102" s="47">
        <v>6275.5589389999996</v>
      </c>
      <c r="J102" s="41"/>
    </row>
    <row r="103" spans="1:10" x14ac:dyDescent="0.5">
      <c r="A103" s="30" t="s">
        <v>29</v>
      </c>
      <c r="B103" s="37">
        <v>44986</v>
      </c>
      <c r="C103" s="37" t="s">
        <v>15</v>
      </c>
      <c r="D103" s="38">
        <v>3094.4841000000001</v>
      </c>
      <c r="E103" s="39">
        <v>13243.776</v>
      </c>
      <c r="F103" s="39">
        <v>3.9835400000000001</v>
      </c>
      <c r="G103" s="40">
        <f t="shared" si="3"/>
        <v>13247.759539999999</v>
      </c>
      <c r="H103" s="38">
        <f t="shared" si="2"/>
        <v>16342.243639999999</v>
      </c>
      <c r="I103" s="47">
        <v>6538.2821480000002</v>
      </c>
      <c r="J103" s="41"/>
    </row>
    <row r="104" spans="1:10" x14ac:dyDescent="0.5">
      <c r="A104" s="30" t="s">
        <v>29</v>
      </c>
      <c r="B104" s="37">
        <v>45017</v>
      </c>
      <c r="C104" s="37" t="s">
        <v>16</v>
      </c>
      <c r="D104" s="38">
        <v>2512.5841</v>
      </c>
      <c r="E104" s="39">
        <v>14334.476000000001</v>
      </c>
      <c r="F104" s="39">
        <v>4.4393000000000002</v>
      </c>
      <c r="G104" s="40">
        <f t="shared" si="3"/>
        <v>14338.915300000001</v>
      </c>
      <c r="H104" s="38">
        <f t="shared" si="2"/>
        <v>16851.499400000001</v>
      </c>
      <c r="I104" s="47">
        <v>7129.9193670000004</v>
      </c>
      <c r="J104" s="41"/>
    </row>
    <row r="105" spans="1:10" x14ac:dyDescent="0.5">
      <c r="A105" s="30" t="s">
        <v>29</v>
      </c>
      <c r="B105" s="37">
        <v>45047</v>
      </c>
      <c r="C105" s="37" t="s">
        <v>17</v>
      </c>
      <c r="D105" s="38">
        <v>996.76790000000005</v>
      </c>
      <c r="E105" s="39">
        <v>15584.216</v>
      </c>
      <c r="F105" s="39">
        <v>556.13115000000005</v>
      </c>
      <c r="G105" s="40">
        <f t="shared" si="3"/>
        <v>16140.34715</v>
      </c>
      <c r="H105" s="38">
        <f t="shared" si="2"/>
        <v>17137.11505</v>
      </c>
      <c r="I105" s="47">
        <v>11566.727484999999</v>
      </c>
      <c r="J105" s="41"/>
    </row>
    <row r="106" spans="1:10" x14ac:dyDescent="0.5">
      <c r="A106" s="30" t="s">
        <v>29</v>
      </c>
      <c r="B106" s="37">
        <v>45078</v>
      </c>
      <c r="C106" s="37" t="s">
        <v>18</v>
      </c>
      <c r="D106" s="38">
        <v>823.62249999999995</v>
      </c>
      <c r="E106" s="39">
        <v>13745.875</v>
      </c>
      <c r="F106" s="39">
        <v>181.67370000000003</v>
      </c>
      <c r="G106" s="40">
        <f t="shared" si="3"/>
        <v>13927.548699999999</v>
      </c>
      <c r="H106" s="38">
        <f t="shared" si="2"/>
        <v>14751.171199999999</v>
      </c>
      <c r="I106" s="47">
        <v>10035.592930999999</v>
      </c>
      <c r="J106" s="41"/>
    </row>
    <row r="107" spans="1:10" x14ac:dyDescent="0.5">
      <c r="A107" s="30" t="s">
        <v>29</v>
      </c>
      <c r="B107" s="37">
        <v>45108</v>
      </c>
      <c r="C107" s="37" t="s">
        <v>19</v>
      </c>
      <c r="D107" s="38">
        <v>1276.9673</v>
      </c>
      <c r="E107" s="39">
        <v>9696.9040000000005</v>
      </c>
      <c r="F107" s="39">
        <v>40.170660000000005</v>
      </c>
      <c r="G107" s="40">
        <f t="shared" si="3"/>
        <v>9737.0746600000002</v>
      </c>
      <c r="H107" s="38">
        <f t="shared" si="2"/>
        <v>11014.04196</v>
      </c>
      <c r="I107" s="47">
        <v>9648.6014799999994</v>
      </c>
      <c r="J107" s="41"/>
    </row>
    <row r="108" spans="1:10" x14ac:dyDescent="0.5">
      <c r="A108" s="30" t="s">
        <v>29</v>
      </c>
      <c r="B108" s="37">
        <v>45139</v>
      </c>
      <c r="C108" s="37" t="s">
        <v>20</v>
      </c>
      <c r="D108" s="38">
        <v>1704.7885000000001</v>
      </c>
      <c r="E108" s="39">
        <v>8387.8989999999994</v>
      </c>
      <c r="F108" s="39">
        <v>82.381500000000003</v>
      </c>
      <c r="G108" s="40">
        <f t="shared" si="3"/>
        <v>8470.2804999999989</v>
      </c>
      <c r="H108" s="38">
        <f t="shared" si="2"/>
        <v>10175.069</v>
      </c>
      <c r="I108" s="47">
        <v>9362.6192439999995</v>
      </c>
      <c r="J108" s="41"/>
    </row>
    <row r="109" spans="1:10" x14ac:dyDescent="0.5">
      <c r="A109" s="30" t="s">
        <v>29</v>
      </c>
      <c r="B109" s="37">
        <v>45170</v>
      </c>
      <c r="C109" s="37" t="s">
        <v>21</v>
      </c>
      <c r="D109" s="38">
        <v>2498.5169999999998</v>
      </c>
      <c r="E109" s="39">
        <v>6400.4979999999996</v>
      </c>
      <c r="F109" s="39">
        <v>200.40100000000001</v>
      </c>
      <c r="G109" s="40">
        <f t="shared" si="3"/>
        <v>6600.8989999999994</v>
      </c>
      <c r="H109" s="38">
        <f t="shared" si="2"/>
        <v>9099.4159999999993</v>
      </c>
      <c r="I109" s="47">
        <v>7153.4954349999998</v>
      </c>
      <c r="J109" s="41"/>
    </row>
    <row r="110" spans="1:10" x14ac:dyDescent="0.5">
      <c r="A110" s="30" t="s">
        <v>30</v>
      </c>
      <c r="B110" s="37">
        <v>45200</v>
      </c>
      <c r="C110" s="37" t="s">
        <v>10</v>
      </c>
      <c r="D110" s="38">
        <v>9421.8799999999992</v>
      </c>
      <c r="E110" s="39">
        <v>5606.0910000000003</v>
      </c>
      <c r="F110" s="39">
        <v>617.004727</v>
      </c>
      <c r="G110" s="40">
        <f t="shared" si="3"/>
        <v>6223.0957269999999</v>
      </c>
      <c r="H110" s="38">
        <f t="shared" si="2"/>
        <v>15644.975726999999</v>
      </c>
      <c r="I110" s="47">
        <v>5157.6059089999999</v>
      </c>
      <c r="J110" s="41"/>
    </row>
    <row r="111" spans="1:10" x14ac:dyDescent="0.5">
      <c r="A111" s="30" t="s">
        <v>30</v>
      </c>
      <c r="B111" s="37">
        <v>45231</v>
      </c>
      <c r="C111" s="37" t="s">
        <v>11</v>
      </c>
      <c r="D111" s="38">
        <v>7467.1162999999997</v>
      </c>
      <c r="E111" s="39">
        <v>5201.1360000000004</v>
      </c>
      <c r="F111" s="39">
        <v>94.790933999999993</v>
      </c>
      <c r="G111" s="40">
        <f t="shared" si="3"/>
        <v>5295.9269340000001</v>
      </c>
      <c r="H111" s="38">
        <f t="shared" si="2"/>
        <v>12763.043234000001</v>
      </c>
      <c r="I111" s="47">
        <v>7917.6478349999998</v>
      </c>
      <c r="J111" s="41"/>
    </row>
    <row r="112" spans="1:10" x14ac:dyDescent="0.5">
      <c r="A112" s="30" t="s">
        <v>30</v>
      </c>
      <c r="B112" s="37">
        <v>45261</v>
      </c>
      <c r="C112" s="37" t="s">
        <v>12</v>
      </c>
      <c r="D112" s="38">
        <v>4771.6904999999997</v>
      </c>
      <c r="E112" s="39">
        <v>3834.76</v>
      </c>
      <c r="F112" s="39">
        <v>37.144860000000001</v>
      </c>
      <c r="G112" s="40">
        <f t="shared" si="3"/>
        <v>3871.9048600000001</v>
      </c>
      <c r="H112" s="38">
        <f t="shared" si="2"/>
        <v>8643.5953599999993</v>
      </c>
      <c r="I112" s="47">
        <v>9822.5496770000009</v>
      </c>
      <c r="J112" s="41"/>
    </row>
    <row r="113" spans="1:10" x14ac:dyDescent="0.5">
      <c r="A113" s="30" t="s">
        <v>30</v>
      </c>
      <c r="B113" s="37">
        <v>45292</v>
      </c>
      <c r="C113" s="37" t="s">
        <v>13</v>
      </c>
      <c r="D113" s="39">
        <v>5866.2746999999999</v>
      </c>
      <c r="E113" s="39">
        <v>2854.837</v>
      </c>
      <c r="F113" s="39">
        <v>51.588360000000002</v>
      </c>
      <c r="G113" s="40">
        <f t="shared" si="3"/>
        <v>2906.4253600000002</v>
      </c>
      <c r="H113" s="38">
        <f t="shared" si="2"/>
        <v>8772.7000599999992</v>
      </c>
      <c r="I113" s="48">
        <v>7920.4570199999998</v>
      </c>
      <c r="J113" s="41"/>
    </row>
    <row r="114" spans="1:10" x14ac:dyDescent="0.5">
      <c r="A114" s="30" t="s">
        <v>30</v>
      </c>
      <c r="B114" s="37">
        <v>45323</v>
      </c>
      <c r="C114" s="37" t="s">
        <v>14</v>
      </c>
      <c r="D114" s="39">
        <v>5282.1812</v>
      </c>
      <c r="E114" s="39">
        <v>6608.15</v>
      </c>
      <c r="F114" s="39">
        <v>4.8146000000000004</v>
      </c>
      <c r="G114" s="40">
        <f t="shared" si="3"/>
        <v>6612.9645999999993</v>
      </c>
      <c r="H114" s="38">
        <f t="shared" si="2"/>
        <v>11895.1458</v>
      </c>
      <c r="I114" s="48">
        <v>5115.3002939999997</v>
      </c>
      <c r="J114" s="41"/>
    </row>
    <row r="115" spans="1:10" x14ac:dyDescent="0.5">
      <c r="A115" s="30" t="s">
        <v>30</v>
      </c>
      <c r="B115" s="37">
        <v>45352</v>
      </c>
      <c r="C115" s="37" t="s">
        <v>15</v>
      </c>
      <c r="D115" s="39">
        <v>3189.6311000000001</v>
      </c>
      <c r="E115" s="39">
        <v>12600.313</v>
      </c>
      <c r="F115" s="39">
        <v>4.9375</v>
      </c>
      <c r="G115" s="40">
        <f t="shared" si="3"/>
        <v>12605.2505</v>
      </c>
      <c r="H115" s="38">
        <f t="shared" si="2"/>
        <v>15794.881600000001</v>
      </c>
      <c r="I115" s="49">
        <v>5539.9489649999996</v>
      </c>
      <c r="J115" s="41"/>
    </row>
    <row r="116" spans="1:10" x14ac:dyDescent="0.5">
      <c r="A116" s="30" t="s">
        <v>30</v>
      </c>
      <c r="B116" s="37">
        <v>45383</v>
      </c>
      <c r="C116" s="37" t="s">
        <v>16</v>
      </c>
      <c r="D116" s="39">
        <v>1783.4163999999998</v>
      </c>
      <c r="E116" s="39">
        <v>14687.834000000001</v>
      </c>
      <c r="F116" s="39">
        <v>170.198745</v>
      </c>
      <c r="G116" s="40">
        <f t="shared" si="3"/>
        <v>14858.032745</v>
      </c>
      <c r="H116" s="38">
        <f t="shared" si="2"/>
        <v>16641.449145000002</v>
      </c>
      <c r="I116" s="49">
        <v>8571.6143100000008</v>
      </c>
      <c r="J116" s="41"/>
    </row>
    <row r="117" spans="1:10" x14ac:dyDescent="0.5">
      <c r="A117" s="30" t="s">
        <v>30</v>
      </c>
      <c r="B117" s="37">
        <v>45413</v>
      </c>
      <c r="C117" s="37" t="s">
        <v>17</v>
      </c>
      <c r="D117" s="39">
        <v>1376.7528</v>
      </c>
      <c r="E117" s="39">
        <v>13436.731</v>
      </c>
      <c r="F117" s="39">
        <v>1516.647393</v>
      </c>
      <c r="G117" s="40">
        <f t="shared" si="3"/>
        <v>14953.378392999999</v>
      </c>
      <c r="H117" s="38">
        <f t="shared" si="2"/>
        <v>16330.131192999999</v>
      </c>
      <c r="I117" s="49">
        <v>10220.571753</v>
      </c>
      <c r="J117" s="41"/>
    </row>
    <row r="118" spans="1:10" x14ac:dyDescent="0.5">
      <c r="A118" s="30" t="s">
        <v>30</v>
      </c>
      <c r="B118" s="37">
        <v>45444</v>
      </c>
      <c r="C118" s="37" t="s">
        <v>18</v>
      </c>
      <c r="D118" s="39">
        <v>1407.5643</v>
      </c>
      <c r="E118" s="39">
        <v>13959.641</v>
      </c>
      <c r="F118" s="39">
        <v>1415.9304180000001</v>
      </c>
      <c r="G118" s="40">
        <f t="shared" si="3"/>
        <v>15375.571418</v>
      </c>
      <c r="H118" s="38">
        <f t="shared" si="2"/>
        <v>16783.135718000001</v>
      </c>
      <c r="I118" s="49">
        <v>11112.672761</v>
      </c>
      <c r="J118" s="41"/>
    </row>
    <row r="119" spans="1:10" x14ac:dyDescent="0.5">
      <c r="A119" s="30" t="s">
        <v>30</v>
      </c>
      <c r="B119" s="37">
        <v>45474</v>
      </c>
      <c r="C119" s="37" t="s">
        <v>19</v>
      </c>
      <c r="D119" s="39">
        <v>1490.8416000000002</v>
      </c>
      <c r="E119" s="39">
        <v>11252.773999999999</v>
      </c>
      <c r="F119" s="39">
        <v>373.20709899999997</v>
      </c>
      <c r="G119" s="40">
        <f t="shared" si="3"/>
        <v>11625.981098999999</v>
      </c>
      <c r="H119" s="38">
        <f t="shared" si="2"/>
        <v>13116.822698999998</v>
      </c>
      <c r="I119" s="49">
        <v>9854.1142419999996</v>
      </c>
      <c r="J119" s="41"/>
    </row>
    <row r="120" spans="1:10" x14ac:dyDescent="0.5">
      <c r="A120" s="30" t="s">
        <v>30</v>
      </c>
      <c r="B120" s="37">
        <v>45505</v>
      </c>
      <c r="C120" s="37" t="s">
        <v>20</v>
      </c>
      <c r="D120" s="39">
        <v>1709.8521000000001</v>
      </c>
      <c r="E120" s="39">
        <v>8037.7219999999998</v>
      </c>
      <c r="F120" s="39">
        <v>521.92908</v>
      </c>
      <c r="G120" s="40">
        <f t="shared" si="3"/>
        <v>8559.6510799999996</v>
      </c>
      <c r="H120" s="38">
        <f t="shared" si="2"/>
        <v>10269.50318</v>
      </c>
      <c r="I120" s="49">
        <v>12144.269267</v>
      </c>
      <c r="J120" s="41"/>
    </row>
    <row r="121" spans="1:10" x14ac:dyDescent="0.5">
      <c r="A121" s="30" t="s">
        <v>30</v>
      </c>
      <c r="B121" s="37">
        <v>45536</v>
      </c>
      <c r="C121" s="37" t="s">
        <v>21</v>
      </c>
      <c r="D121" s="39">
        <v>3114.1603999999998</v>
      </c>
      <c r="E121" s="39">
        <v>6104.26</v>
      </c>
      <c r="F121" s="39">
        <v>292.21274499999998</v>
      </c>
      <c r="G121" s="40">
        <f t="shared" si="3"/>
        <v>6396.472745</v>
      </c>
      <c r="H121" s="38">
        <f t="shared" si="2"/>
        <v>9510.6331449999998</v>
      </c>
      <c r="I121" s="49">
        <v>11370.347942</v>
      </c>
      <c r="J121" s="41"/>
    </row>
    <row r="122" spans="1:10" x14ac:dyDescent="0.5">
      <c r="A122" s="30" t="s">
        <v>31</v>
      </c>
      <c r="B122" s="37">
        <v>45566</v>
      </c>
      <c r="C122" s="37" t="s">
        <v>10</v>
      </c>
      <c r="D122" s="39">
        <v>9418.0491999999995</v>
      </c>
      <c r="E122" s="39">
        <v>4709.7479999999996</v>
      </c>
      <c r="F122" s="39">
        <v>145.41238000000001</v>
      </c>
      <c r="G122" s="40">
        <f t="shared" si="3"/>
        <v>4855.1603799999993</v>
      </c>
      <c r="H122" s="38">
        <f t="shared" si="2"/>
        <v>14273.209579999999</v>
      </c>
      <c r="I122" s="49">
        <v>8087.799035</v>
      </c>
      <c r="J122" s="41"/>
    </row>
    <row r="123" spans="1:10" x14ac:dyDescent="0.5">
      <c r="A123" s="30" t="s">
        <v>31</v>
      </c>
      <c r="B123" s="37">
        <v>45597</v>
      </c>
      <c r="C123" s="37" t="s">
        <v>11</v>
      </c>
      <c r="D123" s="39">
        <v>10085.242900000001</v>
      </c>
      <c r="E123" s="39">
        <v>2552.8000000000002</v>
      </c>
      <c r="F123" s="39">
        <v>94.063999999999993</v>
      </c>
      <c r="G123" s="40">
        <f t="shared" si="3"/>
        <v>2646.864</v>
      </c>
      <c r="H123" s="38">
        <f t="shared" si="2"/>
        <v>12732.106900000001</v>
      </c>
      <c r="I123" s="49">
        <v>7154.1077210000003</v>
      </c>
      <c r="J123" s="41"/>
    </row>
    <row r="124" spans="1:10" x14ac:dyDescent="0.5">
      <c r="A124" s="30" t="s">
        <v>31</v>
      </c>
      <c r="B124" s="37">
        <v>45627</v>
      </c>
      <c r="C124" s="37" t="s">
        <v>12</v>
      </c>
      <c r="D124" s="39">
        <v>7482.4207999999999</v>
      </c>
      <c r="E124" s="39">
        <v>2006.0540000000001</v>
      </c>
      <c r="F124" s="39">
        <v>8.5305119999999999</v>
      </c>
      <c r="G124" s="40">
        <f t="shared" si="3"/>
        <v>2014.5845120000001</v>
      </c>
      <c r="H124" s="38">
        <f t="shared" si="2"/>
        <v>9497.0053119999993</v>
      </c>
      <c r="I124" s="49">
        <v>7941.4609529999998</v>
      </c>
      <c r="J124" s="41"/>
    </row>
    <row r="125" spans="1:10" x14ac:dyDescent="0.5">
      <c r="A125" s="30" t="s">
        <v>31</v>
      </c>
      <c r="B125" s="37">
        <v>45658</v>
      </c>
      <c r="C125" s="37" t="s">
        <v>13</v>
      </c>
      <c r="D125" s="39">
        <v>5211.6870999999992</v>
      </c>
      <c r="E125" s="39">
        <v>1069.087</v>
      </c>
      <c r="F125" s="39">
        <v>6.9903999999999993</v>
      </c>
      <c r="G125" s="40">
        <f t="shared" si="3"/>
        <v>1076.0773999999999</v>
      </c>
      <c r="H125" s="38">
        <f t="shared" si="2"/>
        <v>6287.7644999999984</v>
      </c>
      <c r="I125" s="49">
        <v>7775.3639929999999</v>
      </c>
      <c r="J125" s="41"/>
    </row>
    <row r="126" spans="1:10" x14ac:dyDescent="0.5">
      <c r="A126" s="30" t="s">
        <v>31</v>
      </c>
      <c r="B126" s="37">
        <v>45689</v>
      </c>
      <c r="C126" s="37" t="s">
        <v>14</v>
      </c>
      <c r="D126" s="39">
        <v>3117.2017999999998</v>
      </c>
      <c r="E126" s="39">
        <v>6428.3329999999996</v>
      </c>
      <c r="F126" s="39">
        <v>8.5384799999999998</v>
      </c>
      <c r="G126" s="40">
        <f t="shared" si="3"/>
        <v>6436.8714799999998</v>
      </c>
      <c r="H126" s="38">
        <f t="shared" si="2"/>
        <v>9554.0732799999987</v>
      </c>
      <c r="I126" s="49">
        <v>5830.1231680000001</v>
      </c>
      <c r="J126" s="41"/>
    </row>
    <row r="127" spans="1:10" x14ac:dyDescent="0.5">
      <c r="A127" s="30" t="s">
        <v>31</v>
      </c>
      <c r="B127" s="37">
        <v>45717</v>
      </c>
      <c r="C127" s="37" t="s">
        <v>15</v>
      </c>
      <c r="D127" s="39">
        <v>3498.2367999999997</v>
      </c>
      <c r="E127" s="39">
        <v>14657.767</v>
      </c>
      <c r="F127" s="39">
        <v>7.3372799999999998</v>
      </c>
      <c r="G127" s="40">
        <f t="shared" si="3"/>
        <v>14665.10428</v>
      </c>
      <c r="H127" s="38">
        <f t="shared" si="2"/>
        <v>18163.341079999998</v>
      </c>
      <c r="I127" s="50">
        <v>3503.4387969999998</v>
      </c>
      <c r="J127" s="41"/>
    </row>
    <row r="128" spans="1:10" x14ac:dyDescent="0.5">
      <c r="A128" s="30" t="s">
        <v>31</v>
      </c>
      <c r="B128" s="37">
        <v>45748</v>
      </c>
      <c r="C128" s="37" t="s">
        <v>16</v>
      </c>
      <c r="D128" s="39">
        <v>2179.7813999999998</v>
      </c>
      <c r="E128" s="39">
        <v>15271.924000000001</v>
      </c>
      <c r="F128" s="39">
        <v>162.3074</v>
      </c>
      <c r="G128" s="40">
        <f t="shared" si="3"/>
        <v>15434.231400000001</v>
      </c>
      <c r="H128" s="38">
        <f t="shared" si="2"/>
        <v>17614.0128</v>
      </c>
      <c r="I128" s="50">
        <v>6079.8926540000002</v>
      </c>
      <c r="J128" s="41"/>
    </row>
    <row r="129" spans="1:10" x14ac:dyDescent="0.5">
      <c r="A129" s="30" t="s">
        <v>31</v>
      </c>
      <c r="B129" s="37">
        <v>45778</v>
      </c>
      <c r="C129" s="37" t="s">
        <v>17</v>
      </c>
      <c r="D129" s="39">
        <v>1595.2748000000001</v>
      </c>
      <c r="E129" s="39">
        <v>14100.526</v>
      </c>
      <c r="F129" s="39">
        <v>1225.6690679999999</v>
      </c>
      <c r="G129" s="40">
        <f t="shared" si="3"/>
        <v>15326.195067999999</v>
      </c>
      <c r="H129" s="38">
        <f t="shared" si="2"/>
        <v>16921.469868</v>
      </c>
      <c r="I129" s="50">
        <v>13917.473757</v>
      </c>
      <c r="J129" s="41"/>
    </row>
    <row r="130" spans="1:10" x14ac:dyDescent="0.5">
      <c r="A130" s="30" t="s">
        <v>31</v>
      </c>
      <c r="B130" s="37">
        <v>45809</v>
      </c>
      <c r="C130" s="37" t="s">
        <v>18</v>
      </c>
      <c r="D130" s="39">
        <v>1500.6459</v>
      </c>
      <c r="E130" s="39">
        <v>13420.317999999999</v>
      </c>
      <c r="F130" s="39">
        <v>1004.730873</v>
      </c>
      <c r="G130" s="40">
        <f t="shared" si="3"/>
        <v>14425.048873</v>
      </c>
      <c r="H130" s="38">
        <f t="shared" ref="H130:H139" si="4">SUM(D130:F130)</f>
        <v>15925.694772999999</v>
      </c>
      <c r="I130" s="50">
        <v>12282.985391</v>
      </c>
      <c r="J130" s="41"/>
    </row>
    <row r="131" spans="1:10" x14ac:dyDescent="0.5">
      <c r="A131" s="30" t="s">
        <v>31</v>
      </c>
      <c r="B131" s="37">
        <v>45839</v>
      </c>
      <c r="C131" s="37" t="s">
        <v>19</v>
      </c>
      <c r="D131" s="39">
        <v>1750.7699</v>
      </c>
      <c r="E131" s="39">
        <v>12257.349</v>
      </c>
      <c r="F131" s="39">
        <v>1363.25218</v>
      </c>
      <c r="G131" s="40">
        <f t="shared" ref="G131:G139" si="5">E131+F131</f>
        <v>13620.60118</v>
      </c>
      <c r="H131" s="38">
        <f t="shared" si="4"/>
        <v>15371.371079999999</v>
      </c>
      <c r="I131" s="50">
        <v>11664.274374000001</v>
      </c>
      <c r="J131" s="41"/>
    </row>
    <row r="132" spans="1:10" x14ac:dyDescent="0.5">
      <c r="A132" s="30" t="s">
        <v>31</v>
      </c>
      <c r="B132" s="37">
        <v>45870</v>
      </c>
      <c r="C132" s="37" t="s">
        <v>20</v>
      </c>
      <c r="D132" s="51">
        <v>2273.4409000000001</v>
      </c>
      <c r="E132" s="39">
        <v>9325.1679999999997</v>
      </c>
      <c r="F132" s="39">
        <v>1795.034496</v>
      </c>
      <c r="G132" s="40">
        <f t="shared" si="5"/>
        <v>11120.202496</v>
      </c>
      <c r="H132" s="38">
        <f t="shared" si="4"/>
        <v>13393.643395999999</v>
      </c>
      <c r="I132" s="50">
        <v>12277.454487999999</v>
      </c>
      <c r="J132" s="41"/>
    </row>
    <row r="133" spans="1:10" x14ac:dyDescent="0.5">
      <c r="A133" s="30" t="s">
        <v>31</v>
      </c>
      <c r="B133" s="37">
        <v>45901</v>
      </c>
      <c r="C133" s="37" t="s">
        <v>21</v>
      </c>
      <c r="D133" s="51">
        <v>2855.9562000000001</v>
      </c>
      <c r="E133" s="39">
        <v>7339.9629999999997</v>
      </c>
      <c r="F133" s="39">
        <v>2042.4127060000001</v>
      </c>
      <c r="G133" s="40">
        <f t="shared" si="5"/>
        <v>9382.3757059999989</v>
      </c>
      <c r="H133" s="38">
        <f t="shared" si="4"/>
        <v>12238.331905999999</v>
      </c>
      <c r="I133" s="50">
        <v>12868.006638000001</v>
      </c>
      <c r="J133" s="41"/>
    </row>
    <row r="134" spans="1:10" x14ac:dyDescent="0.5">
      <c r="A134" s="52" t="s">
        <v>32</v>
      </c>
      <c r="B134" s="37">
        <v>45931</v>
      </c>
      <c r="C134" s="37" t="s">
        <v>10</v>
      </c>
      <c r="D134" s="51">
        <v>5363.8283000000001</v>
      </c>
      <c r="E134" s="39">
        <v>6727.6639999999998</v>
      </c>
      <c r="F134" s="39">
        <v>1680.182</v>
      </c>
      <c r="G134" s="40">
        <f t="shared" si="5"/>
        <v>8407.8459999999995</v>
      </c>
      <c r="H134" s="38">
        <f t="shared" si="4"/>
        <v>13771.674300000001</v>
      </c>
      <c r="I134" s="50">
        <v>9481847</v>
      </c>
      <c r="J134" s="41"/>
    </row>
    <row r="135" spans="1:10" x14ac:dyDescent="0.5">
      <c r="A135" s="52" t="s">
        <v>32</v>
      </c>
      <c r="B135" s="37">
        <v>45962</v>
      </c>
      <c r="C135" s="37" t="s">
        <v>11</v>
      </c>
      <c r="D135" s="53">
        <v>4292.6750000000002</v>
      </c>
      <c r="E135" s="39">
        <v>4197.1610000000001</v>
      </c>
      <c r="F135" s="39">
        <v>2190.8310000000001</v>
      </c>
      <c r="G135" s="40">
        <f>E135+F135</f>
        <v>6387.9920000000002</v>
      </c>
      <c r="H135" s="38">
        <f t="shared" si="4"/>
        <v>10680.666999999999</v>
      </c>
      <c r="I135" s="54">
        <v>8107.3130000000001</v>
      </c>
      <c r="J135" s="41"/>
    </row>
    <row r="136" spans="1:10" x14ac:dyDescent="0.5">
      <c r="A136" s="30" t="s">
        <v>32</v>
      </c>
      <c r="B136" s="37">
        <v>45992</v>
      </c>
      <c r="C136" s="55" t="s">
        <v>12</v>
      </c>
      <c r="D136" s="56">
        <v>4460.1120000000001</v>
      </c>
      <c r="E136" s="39">
        <v>3383</v>
      </c>
      <c r="F136" s="39">
        <v>870.80409999999995</v>
      </c>
      <c r="G136" s="40">
        <f t="shared" si="5"/>
        <v>4253.8041000000003</v>
      </c>
      <c r="H136" s="38">
        <f t="shared" si="4"/>
        <v>8713.9161000000004</v>
      </c>
      <c r="I136" s="50">
        <v>8043.9110000000001</v>
      </c>
      <c r="J136" s="41"/>
    </row>
    <row r="137" spans="1:10" x14ac:dyDescent="0.5">
      <c r="A137" s="30" t="s">
        <v>32</v>
      </c>
      <c r="B137" s="37">
        <v>46023</v>
      </c>
      <c r="C137" s="55" t="s">
        <v>13</v>
      </c>
      <c r="D137" s="39">
        <v>5821.9470000000001</v>
      </c>
      <c r="E137" s="39">
        <v>1877</v>
      </c>
      <c r="F137" s="39">
        <v>53.335999999999999</v>
      </c>
      <c r="G137" s="40">
        <f t="shared" si="5"/>
        <v>1930.336</v>
      </c>
      <c r="H137" s="38">
        <f t="shared" si="4"/>
        <v>7752.2830000000004</v>
      </c>
      <c r="I137" s="39"/>
      <c r="J137" s="41"/>
    </row>
    <row r="138" spans="1:10" x14ac:dyDescent="0.5">
      <c r="A138" s="30" t="s">
        <v>32</v>
      </c>
      <c r="B138" s="37">
        <v>46054</v>
      </c>
      <c r="C138" s="55" t="s">
        <v>14</v>
      </c>
      <c r="D138" s="39">
        <v>4195.741</v>
      </c>
      <c r="E138" s="39">
        <v>7076</v>
      </c>
      <c r="F138" s="39">
        <v>4.1120000000000001</v>
      </c>
      <c r="G138" s="40">
        <f t="shared" si="5"/>
        <v>7080.1120000000001</v>
      </c>
      <c r="H138" s="38">
        <f t="shared" si="4"/>
        <v>11275.852999999999</v>
      </c>
      <c r="I138" s="39"/>
      <c r="J138" s="41"/>
    </row>
    <row r="139" spans="1:10" x14ac:dyDescent="0.5">
      <c r="A139" s="30" t="s">
        <v>32</v>
      </c>
      <c r="B139" s="37">
        <v>46082</v>
      </c>
      <c r="C139" s="55" t="s">
        <v>15</v>
      </c>
      <c r="D139" s="39"/>
      <c r="E139" s="39">
        <v>14531.68</v>
      </c>
      <c r="F139" s="39"/>
      <c r="G139" s="40">
        <f t="shared" si="5"/>
        <v>14531.68</v>
      </c>
      <c r="H139" s="38">
        <f t="shared" si="4"/>
        <v>14531.68</v>
      </c>
      <c r="I139" s="39"/>
      <c r="J139" s="41"/>
    </row>
    <row r="140" spans="1:10" x14ac:dyDescent="0.5">
      <c r="A140" s="30" t="s">
        <v>32</v>
      </c>
      <c r="B140" s="37">
        <v>46113</v>
      </c>
      <c r="C140" s="55" t="s">
        <v>16</v>
      </c>
      <c r="D140" s="39"/>
      <c r="E140" s="39"/>
      <c r="F140" s="39"/>
      <c r="G140" s="40"/>
      <c r="H140" s="38"/>
      <c r="I140" s="39"/>
      <c r="J140" s="41"/>
    </row>
  </sheetData>
  <autoFilter ref="A1:G1" xr:uid="{00000000-0001-0000-0000-000000000000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f7db2c8-69c4-412b-9d44-16b2d9ce1096">
      <Terms xmlns="http://schemas.microsoft.com/office/infopath/2007/PartnerControls"/>
    </lcf76f155ced4ddcb4097134ff3c332f>
    <TaxCatchAll xmlns="2ae6f4a5-fc03-40a6-a6be-1c00f8eb7500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00F3C6901D84A48B91A9B4E5E69DA02" ma:contentTypeVersion="33" ma:contentTypeDescription="Create a new document." ma:contentTypeScope="" ma:versionID="6ce5aaaf5c71f332bad539ea18ca4307">
  <xsd:schema xmlns:xsd="http://www.w3.org/2001/XMLSchema" xmlns:xs="http://www.w3.org/2001/XMLSchema" xmlns:p="http://schemas.microsoft.com/office/2006/metadata/properties" xmlns:ns2="1f7db2c8-69c4-412b-9d44-16b2d9ce1096" xmlns:ns3="2ae6f4a5-fc03-40a6-a6be-1c00f8eb7500" targetNamespace="http://schemas.microsoft.com/office/2006/metadata/properties" ma:root="true" ma:fieldsID="17518e73f766de7285d2370906e601ed" ns2:_="" ns3:_="">
    <xsd:import namespace="1f7db2c8-69c4-412b-9d44-16b2d9ce1096"/>
    <xsd:import namespace="2ae6f4a5-fc03-40a6-a6be-1c00f8eb750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EventHashCode" minOccurs="0"/>
                <xsd:element ref="ns2:MediaServiceGenerationTime" minOccurs="0"/>
                <xsd:element ref="ns2:MediaServiceAutoKeyPoints" minOccurs="0"/>
                <xsd:element ref="ns2:MediaServiceKeyPoints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7db2c8-69c4-412b-9d44-16b2d9ce10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MediaServiceAutoTags" ma:internalName="MediaServiceAutoTags" ma:readOnly="true">
      <xsd:simpleType>
        <xsd:restriction base="dms:Text"/>
      </xsd:simpleType>
    </xsd:element>
    <xsd:element name="MediaServiceOCR" ma:index="11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949ee0b0-24da-427d-9ee5-df4606d176d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6f4a5-fc03-40a6-a6be-1c00f8eb7500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70168fb6-03e7-4301-a1a4-001299ec3699}" ma:internalName="TaxCatchAll" ma:showField="CatchAllData" ma:web="2ae6f4a5-fc03-40a6-a6be-1c00f8eb750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23D0501-7188-4B90-8B44-FD38FC936B0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5A3307-D43B-43BB-A585-E888C8EEC4B7}">
  <ds:schemaRefs>
    <ds:schemaRef ds:uri="http://schemas.microsoft.com/office/2006/metadata/properties"/>
    <ds:schemaRef ds:uri="http://schemas.microsoft.com/office/infopath/2007/PartnerControls"/>
    <ds:schemaRef ds:uri="1f7db2c8-69c4-412b-9d44-16b2d9ce1096"/>
    <ds:schemaRef ds:uri="2ae6f4a5-fc03-40a6-a6be-1c00f8eb7500"/>
  </ds:schemaRefs>
</ds:datastoreItem>
</file>

<file path=customXml/itemProps3.xml><?xml version="1.0" encoding="utf-8"?>
<ds:datastoreItem xmlns:ds="http://schemas.openxmlformats.org/officeDocument/2006/customXml" ds:itemID="{9FB39BE9-4E11-43E7-A2C6-BFBD52C59A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f7db2c8-69c4-412b-9d44-16b2d9ce1096"/>
    <ds:schemaRef ds:uri="2ae6f4a5-fc03-40a6-a6be-1c00f8eb750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Corn</vt:lpstr>
      <vt:lpstr>Soybeans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Kolten Postin</dc:creator>
  <cp:lastModifiedBy>Kolten Postin</cp:lastModifiedBy>
  <dcterms:created xsi:type="dcterms:W3CDTF">2026-04-16T00:07:06Z</dcterms:created>
  <dcterms:modified xsi:type="dcterms:W3CDTF">2026-04-16T20:54:12Z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policyId">
    <vt:lpwstr/>
  </property>
  <property fmtid="{D5CDD505-2E9C-101B-9397-08002B2CF9AE}" pid="3" name="MediaServiceImageTags">
    <vt:lpwstr/>
  </property>
  <property fmtid="{D5CDD505-2E9C-101B-9397-08002B2CF9AE}" pid="4" name="ContentTypeId">
    <vt:lpwstr>0x010100400F3C6901D84A48B91A9B4E5E69DA02</vt:lpwstr>
  </property>
  <property fmtid="{D5CDD505-2E9C-101B-9397-08002B2CF9AE}" pid="5" name="ItemRetentionFormula">
    <vt:lpwstr/>
  </property>
</Properties>
</file>