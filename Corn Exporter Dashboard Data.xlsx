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755" yWindow="-120" windowWidth="29040" windowHeight="15720" tabRatio="600" firstSheet="0" activeTab="0" autoFilterDateGrouping="1"/>
  </bookViews>
  <sheets>
    <sheet name="Corn" sheetId="1" state="visible" r:id="rId1"/>
    <sheet name="Soybeans" sheetId="2" state="visible" r:id="rId2"/>
    <sheet name="China Imports" sheetId="3" state="visible" r:id="rId3"/>
    <sheet name="Meal" sheetId="4" state="visible" r:id="rId4"/>
    <sheet name="Wheat" sheetId="5" state="visible" r:id="rId5"/>
    <sheet name="Config" sheetId="6" state="visible" r:id="rId6"/>
    <sheet name="Forecast" sheetId="7" state="visible" r:id="rId7"/>
  </sheets>
  <definedNames>
    <definedName name="_xlnm._FilterDatabase" localSheetId="1" hidden="1">'Soybeans'!$A$1:$G$1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5700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rgb="FF404040"/>
      <sz val="16"/>
    </font>
    <font>
      <name val="Calibri"/>
      <family val="2"/>
      <b val="1"/>
      <color rgb="FF404040"/>
      <sz val="14"/>
    </font>
    <font>
      <name val="Calibri"/>
      <family val="2"/>
      <color rgb="FF404040"/>
      <sz val="12"/>
    </font>
    <font>
      <name val="Aptos Narrow"/>
      <family val="2"/>
      <color theme="1"/>
      <sz val="12"/>
      <scheme val="minor"/>
    </font>
    <font>
      <name val="Calibri"/>
      <family val="2"/>
      <i val="1"/>
      <color theme="1"/>
      <sz val="12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FFFF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1E2124"/>
      </patternFill>
    </fill>
    <fill>
      <patternFill patternType="solid">
        <fgColor rgb="002D501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/>
      <bottom/>
      <diagonal/>
    </border>
  </borders>
  <cellStyleXfs count="6">
    <xf numFmtId="0" fontId="1" fillId="0" borderId="0"/>
    <xf numFmtId="43" fontId="1" fillId="0" borderId="0"/>
    <xf numFmtId="0" fontId="2" fillId="2" borderId="0"/>
    <xf numFmtId="0" fontId="7" fillId="0" borderId="0"/>
    <xf numFmtId="43" fontId="7" fillId="0" borderId="0"/>
    <xf numFmtId="9" fontId="7" fillId="0" borderId="0"/>
  </cellStyleXfs>
  <cellXfs count="71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right"/>
    </xf>
    <xf numFmtId="3" fontId="4" fillId="0" borderId="1" applyAlignment="1" pivotButton="0" quotePrefix="0" xfId="0">
      <alignment horizontal="center" vertical="top" wrapText="1"/>
    </xf>
    <xf numFmtId="3" fontId="5" fillId="0" borderId="1" applyAlignment="1" pivotButton="0" quotePrefix="0" xfId="0">
      <alignment horizontal="center" vertical="top" wrapText="1"/>
    </xf>
    <xf numFmtId="3" fontId="4" fillId="0" borderId="2" applyAlignment="1" pivotButton="0" quotePrefix="0" xfId="0">
      <alignment horizontal="center" vertical="top" wrapText="1"/>
    </xf>
    <xf numFmtId="17" fontId="3" fillId="0" borderId="1" applyAlignment="1" pivotButton="0" quotePrefix="0" xfId="0">
      <alignment horizontal="right"/>
    </xf>
    <xf numFmtId="3" fontId="0" fillId="0" borderId="1" pivotButton="0" quotePrefix="0" xfId="0"/>
    <xf numFmtId="3" fontId="6" fillId="0" borderId="1" applyAlignment="1" pivotButton="0" quotePrefix="0" xfId="0">
      <alignment horizontal="right" vertical="top" wrapText="1"/>
    </xf>
    <xf numFmtId="164" fontId="0" fillId="0" borderId="1" pivotButton="0" quotePrefix="0" xfId="1"/>
    <xf numFmtId="164" fontId="6" fillId="0" borderId="1" applyAlignment="1" pivotButton="0" quotePrefix="0" xfId="1">
      <alignment horizontal="right" vertical="top" wrapText="1"/>
    </xf>
    <xf numFmtId="164" fontId="3" fillId="0" borderId="3" applyAlignment="1" pivotButton="0" quotePrefix="0" xfId="1">
      <alignment horizontal="right" wrapText="1"/>
    </xf>
    <xf numFmtId="164" fontId="3" fillId="0" borderId="3" applyAlignment="1" pivotButton="0" quotePrefix="0" xfId="1">
      <alignment horizontal="right"/>
    </xf>
    <xf numFmtId="164" fontId="3" fillId="0" borderId="1" applyAlignment="1" pivotButton="0" quotePrefix="0" xfId="1">
      <alignment horizontal="right" wrapText="1"/>
    </xf>
    <xf numFmtId="164" fontId="3" fillId="0" borderId="1" applyAlignment="1" pivotButton="0" quotePrefix="0" xfId="1">
      <alignment horizontal="right"/>
    </xf>
    <xf numFmtId="0" fontId="3" fillId="0" borderId="1" applyAlignment="1" pivotButton="0" quotePrefix="0" xfId="0">
      <alignment horizontal="center"/>
    </xf>
    <xf numFmtId="17" fontId="3" fillId="0" borderId="4" applyAlignment="1" pivotButton="0" quotePrefix="0" xfId="0">
      <alignment horizontal="right"/>
    </xf>
    <xf numFmtId="164" fontId="3" fillId="0" borderId="5" applyAlignment="1" pivotButton="0" quotePrefix="0" xfId="1">
      <alignment horizontal="right"/>
    </xf>
    <xf numFmtId="164" fontId="0" fillId="0" borderId="0" pivotButton="0" quotePrefix="0" xfId="1"/>
    <xf numFmtId="164" fontId="2" fillId="2" borderId="1" pivotButton="0" quotePrefix="0" xfId="2"/>
    <xf numFmtId="0" fontId="0" fillId="0" borderId="1" pivotButton="0" quotePrefix="0" xfId="0"/>
    <xf numFmtId="0" fontId="7" fillId="0" borderId="1" applyAlignment="1" pivotButton="0" quotePrefix="0" xfId="3">
      <alignment horizontal="center"/>
    </xf>
    <xf numFmtId="0" fontId="3" fillId="0" borderId="1" applyAlignment="1" pivotButton="0" quotePrefix="0" xfId="3">
      <alignment horizontal="right"/>
    </xf>
    <xf numFmtId="3" fontId="4" fillId="0" borderId="1" applyAlignment="1" pivotButton="0" quotePrefix="0" xfId="3">
      <alignment horizontal="center" vertical="top" wrapText="1"/>
    </xf>
    <xf numFmtId="3" fontId="5" fillId="0" borderId="1" applyAlignment="1" pivotButton="0" quotePrefix="0" xfId="3">
      <alignment horizontal="center" vertical="top" wrapText="1"/>
    </xf>
    <xf numFmtId="3" fontId="4" fillId="0" borderId="2" applyAlignment="1" pivotButton="0" quotePrefix="0" xfId="3">
      <alignment horizontal="center" vertical="top" wrapText="1"/>
    </xf>
    <xf numFmtId="3" fontId="4" fillId="0" borderId="0" applyAlignment="1" pivotButton="0" quotePrefix="0" xfId="3">
      <alignment horizontal="center" vertical="top" wrapText="1"/>
    </xf>
    <xf numFmtId="0" fontId="7" fillId="0" borderId="0" pivotButton="0" quotePrefix="0" xfId="3"/>
    <xf numFmtId="17" fontId="3" fillId="0" borderId="1" applyAlignment="1" pivotButton="0" quotePrefix="0" xfId="3">
      <alignment horizontal="right"/>
    </xf>
    <xf numFmtId="3" fontId="7" fillId="0" borderId="1" pivotButton="0" quotePrefix="0" xfId="3"/>
    <xf numFmtId="164" fontId="0" fillId="0" borderId="1" pivotButton="0" quotePrefix="0" xfId="4"/>
    <xf numFmtId="3" fontId="6" fillId="0" borderId="1" applyAlignment="1" pivotButton="0" quotePrefix="0" xfId="3">
      <alignment horizontal="right" vertical="top" wrapText="1"/>
    </xf>
    <xf numFmtId="3" fontId="7" fillId="0" borderId="0" pivotButton="0" quotePrefix="0" xfId="3"/>
    <xf numFmtId="0" fontId="7" fillId="0" borderId="1" applyAlignment="1" pivotButton="0" quotePrefix="0" xfId="3">
      <alignment horizontal="center" vertical="center"/>
    </xf>
    <xf numFmtId="17" fontId="3" fillId="0" borderId="1" applyAlignment="1" pivotButton="0" quotePrefix="0" xfId="3">
      <alignment horizontal="right" vertical="center"/>
    </xf>
    <xf numFmtId="3" fontId="7" fillId="0" borderId="1" applyAlignment="1" pivotButton="0" quotePrefix="0" xfId="3">
      <alignment vertical="center"/>
    </xf>
    <xf numFmtId="3" fontId="6" fillId="0" borderId="1" applyAlignment="1" pivotButton="0" quotePrefix="0" xfId="3">
      <alignment horizontal="right" vertical="center" wrapText="1"/>
    </xf>
    <xf numFmtId="3" fontId="7" fillId="0" borderId="0" applyAlignment="1" pivotButton="0" quotePrefix="0" xfId="3">
      <alignment vertical="center"/>
    </xf>
    <xf numFmtId="3" fontId="6" fillId="0" borderId="3" applyAlignment="1" pivotButton="0" quotePrefix="0" xfId="3">
      <alignment horizontal="right" vertical="top" wrapText="1"/>
    </xf>
    <xf numFmtId="164" fontId="6" fillId="0" borderId="3" applyAlignment="1" pivotButton="0" quotePrefix="0" xfId="4">
      <alignment horizontal="right" vertical="top" wrapText="1"/>
    </xf>
    <xf numFmtId="164" fontId="3" fillId="0" borderId="3" applyAlignment="1" pivotButton="0" quotePrefix="0" xfId="4">
      <alignment horizontal="right" wrapText="1"/>
    </xf>
    <xf numFmtId="164" fontId="3" fillId="0" borderId="3" applyAlignment="1" pivotButton="0" quotePrefix="0" xfId="4">
      <alignment horizontal="right"/>
    </xf>
    <xf numFmtId="164" fontId="3" fillId="0" borderId="1" applyAlignment="1" pivotButton="0" quotePrefix="0" xfId="4">
      <alignment horizontal="right"/>
    </xf>
    <xf numFmtId="0" fontId="3" fillId="0" borderId="1" applyAlignment="1" pivotButton="0" quotePrefix="0" xfId="3">
      <alignment horizontal="center"/>
    </xf>
    <xf numFmtId="164" fontId="3" fillId="0" borderId="5" applyAlignment="1" pivotButton="0" quotePrefix="0" xfId="4">
      <alignment horizontal="right"/>
    </xf>
    <xf numFmtId="164" fontId="3" fillId="0" borderId="6" applyAlignment="1" pivotButton="0" quotePrefix="0" xfId="4">
      <alignment horizontal="right"/>
    </xf>
    <xf numFmtId="17" fontId="3" fillId="0" borderId="4" applyAlignment="1" pivotButton="0" quotePrefix="0" xfId="3">
      <alignment horizontal="right"/>
    </xf>
    <xf numFmtId="164" fontId="8" fillId="0" borderId="1" pivotButton="0" quotePrefix="0" xfId="4"/>
    <xf numFmtId="0" fontId="7" fillId="0" borderId="1" pivotButton="0" quotePrefix="0" xfId="3"/>
    <xf numFmtId="17" fontId="7" fillId="0" borderId="1" pivotButton="0" quotePrefix="0" xfId="3"/>
    <xf numFmtId="1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10" fillId="0" borderId="1" pivotButton="0" quotePrefix="0" xfId="0"/>
    <xf numFmtId="0" fontId="10" fillId="0" borderId="0" pivotButton="0" quotePrefix="0" xfId="0"/>
    <xf numFmtId="0" fontId="9" fillId="0" borderId="1" pivotButton="0" quotePrefix="0" xfId="3"/>
    <xf numFmtId="0" fontId="9" fillId="0" borderId="0" pivotButton="0" quotePrefix="0" xfId="3"/>
    <xf numFmtId="164" fontId="0" fillId="0" borderId="4" pivotButton="0" quotePrefix="0" xfId="1"/>
    <xf numFmtId="164" fontId="0" fillId="0" borderId="5" applyAlignment="1" pivotButton="0" quotePrefix="0" xfId="1">
      <alignment horizontal="right"/>
    </xf>
    <xf numFmtId="164" fontId="0" fillId="0" borderId="3" pivotButton="0" quotePrefix="0" xfId="1"/>
    <xf numFmtId="3" fontId="2" fillId="2" borderId="1" applyAlignment="1" pivotButton="0" quotePrefix="0" xfId="2">
      <alignment horizontal="right" vertical="top" wrapText="1"/>
    </xf>
    <xf numFmtId="3" fontId="2" fillId="2" borderId="1" pivotButton="0" quotePrefix="0" xfId="2"/>
    <xf numFmtId="0" fontId="2" fillId="2" borderId="1" pivotButton="0" quotePrefix="0" xfId="2"/>
    <xf numFmtId="1" fontId="2" fillId="2" borderId="1" pivotButton="0" quotePrefix="0" xfId="2"/>
    <xf numFmtId="0" fontId="11" fillId="3" borderId="0" applyAlignment="1" pivotButton="0" quotePrefix="0" xfId="0">
      <alignment horizontal="center"/>
    </xf>
    <xf numFmtId="0" fontId="2" fillId="2" borderId="0" pivotButton="0" quotePrefix="0" xfId="2"/>
    <xf numFmtId="164" fontId="2" fillId="2" borderId="7" pivotButton="0" quotePrefix="0" xfId="2"/>
    <xf numFmtId="164" fontId="2" fillId="2" borderId="5" pivotButton="0" quotePrefix="0" xfId="2"/>
    <xf numFmtId="164" fontId="2" fillId="2" borderId="8" pivotButton="0" quotePrefix="0" xfId="2"/>
    <xf numFmtId="3" fontId="2" fillId="2" borderId="7" pivotButton="0" quotePrefix="0" xfId="2"/>
    <xf numFmtId="0" fontId="12" fillId="4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Neutral" xfId="2" builtinId="28"/>
    <cellStyle name="Normal 3" xfId="3"/>
    <cellStyle name="Comma 3" xfId="4"/>
    <cellStyle name="Percent 3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"/>
  <sheetViews>
    <sheetView tabSelected="1" workbookViewId="0">
      <pane ySplit="1" topLeftCell="A121" activePane="bottomLeft" state="frozen"/>
      <selection pane="bottomLeft" activeCell="D140" sqref="D140:I143"/>
    </sheetView>
  </sheetViews>
  <sheetFormatPr baseColWidth="8" defaultRowHeight="15"/>
  <cols>
    <col width="9.7109375" bestFit="1" customWidth="1" min="4" max="4"/>
    <col width="9.5703125" bestFit="1" customWidth="1" min="5" max="5"/>
    <col width="14.85546875" customWidth="1" min="6" max="6"/>
    <col width="13.42578125" customWidth="1" min="7" max="7"/>
    <col width="10.5703125" bestFit="1" customWidth="1" min="8" max="8"/>
    <col width="12.140625" customWidth="1" min="9" max="9"/>
  </cols>
  <sheetData>
    <row r="1" ht="56.25" customHeight="1">
      <c r="A1" s="1" t="inlineStr">
        <is>
          <t>Market Year</t>
        </is>
      </c>
      <c r="B1" s="2" t="inlineStr">
        <is>
          <t>Date</t>
        </is>
      </c>
      <c r="C1" s="2" t="inlineStr">
        <is>
          <t>Month</t>
        </is>
      </c>
      <c r="D1" s="3" t="inlineStr">
        <is>
          <t>US</t>
        </is>
      </c>
      <c r="E1" s="3" t="inlineStr">
        <is>
          <t>Brazil</t>
        </is>
      </c>
      <c r="F1" s="3" t="inlineStr">
        <is>
          <t>Argentina</t>
        </is>
      </c>
      <c r="G1" s="3" t="inlineStr">
        <is>
          <t>Ukraine</t>
        </is>
      </c>
      <c r="H1" s="4" t="inlineStr">
        <is>
          <t>Total Non US</t>
        </is>
      </c>
      <c r="I1" s="5" t="inlineStr">
        <is>
          <t>Major Expoter</t>
        </is>
      </c>
    </row>
    <row r="2" ht="15.75" customHeight="1">
      <c r="A2" s="1" t="inlineStr">
        <is>
          <t>2014/15</t>
        </is>
      </c>
      <c r="B2" s="6" t="n">
        <v>41913</v>
      </c>
      <c r="C2" s="6" t="inlineStr">
        <is>
          <t>Oct</t>
        </is>
      </c>
      <c r="D2" s="7" t="n">
        <v>3807.146</v>
      </c>
      <c r="E2" s="8" t="n">
        <v>3178</v>
      </c>
      <c r="F2" s="8" t="n">
        <v>1818</v>
      </c>
      <c r="G2" s="8" t="n">
        <v>1275</v>
      </c>
      <c r="H2" s="8" t="n">
        <v>6271</v>
      </c>
      <c r="I2" s="7">
        <f>D2+E2+F2+G2</f>
        <v/>
      </c>
    </row>
    <row r="3" ht="15.75" customHeight="1">
      <c r="A3" s="1" t="inlineStr">
        <is>
          <t>2014/15</t>
        </is>
      </c>
      <c r="B3" s="6" t="n">
        <v>41944</v>
      </c>
      <c r="C3" s="6" t="inlineStr">
        <is>
          <t>Nov</t>
        </is>
      </c>
      <c r="D3" s="7" t="n">
        <v>2413.369</v>
      </c>
      <c r="E3" s="8" t="n">
        <v>2979</v>
      </c>
      <c r="F3" s="8" t="n">
        <v>1050</v>
      </c>
      <c r="G3" s="8" t="n">
        <v>2223</v>
      </c>
      <c r="H3" s="8" t="n">
        <v>6252</v>
      </c>
      <c r="I3" s="7">
        <f>D3+E3+F3+G3</f>
        <v/>
      </c>
    </row>
    <row r="4" ht="15.75" customHeight="1">
      <c r="A4" s="1" t="inlineStr">
        <is>
          <t>2014/15</t>
        </is>
      </c>
      <c r="B4" s="6" t="n">
        <v>41974</v>
      </c>
      <c r="C4" s="6" t="inlineStr">
        <is>
          <t>Dec</t>
        </is>
      </c>
      <c r="D4" s="7" t="n">
        <v>2990.211</v>
      </c>
      <c r="E4" s="8" t="n">
        <v>3405</v>
      </c>
      <c r="F4" s="8" t="n">
        <v>853</v>
      </c>
      <c r="G4" s="8" t="n">
        <v>2684</v>
      </c>
      <c r="H4" s="8" t="n">
        <v>6942</v>
      </c>
      <c r="I4" s="7">
        <f>D4+E4+F4+G4</f>
        <v/>
      </c>
    </row>
    <row r="5" ht="15.75" customHeight="1">
      <c r="A5" s="1" t="inlineStr">
        <is>
          <t>2014/15</t>
        </is>
      </c>
      <c r="B5" s="6" t="n">
        <v>42005</v>
      </c>
      <c r="C5" s="6" t="inlineStr">
        <is>
          <t>Jan</t>
        </is>
      </c>
      <c r="D5" s="7" t="n">
        <v>3221.662</v>
      </c>
      <c r="E5" s="8" t="n">
        <v>3195</v>
      </c>
      <c r="F5" s="8" t="n">
        <v>866</v>
      </c>
      <c r="G5" s="8" t="n">
        <v>1895</v>
      </c>
      <c r="H5" s="8" t="n">
        <v>5956</v>
      </c>
      <c r="I5" s="7">
        <f>D5+E5+F5+G5</f>
        <v/>
      </c>
    </row>
    <row r="6" ht="15.75" customHeight="1">
      <c r="A6" s="1" t="inlineStr">
        <is>
          <t>2014/15</t>
        </is>
      </c>
      <c r="B6" s="6" t="n">
        <v>42036</v>
      </c>
      <c r="C6" s="6" t="inlineStr">
        <is>
          <t>Feb</t>
        </is>
      </c>
      <c r="D6" s="7" t="n">
        <v>3914.513</v>
      </c>
      <c r="E6" s="8" t="n">
        <v>1105</v>
      </c>
      <c r="F6" s="8" t="n">
        <v>706</v>
      </c>
      <c r="G6" s="8" t="n">
        <v>2215</v>
      </c>
      <c r="H6" s="8" t="n">
        <v>4026</v>
      </c>
      <c r="I6" s="7">
        <f>D6+E6+F6+G6</f>
        <v/>
      </c>
    </row>
    <row r="7" ht="15.75" customHeight="1">
      <c r="A7" s="1" t="inlineStr">
        <is>
          <t>2014/15</t>
        </is>
      </c>
      <c r="B7" s="6" t="n">
        <v>42064</v>
      </c>
      <c r="C7" s="6" t="inlineStr">
        <is>
          <t>Mar</t>
        </is>
      </c>
      <c r="D7" s="7" t="n">
        <v>3981.814</v>
      </c>
      <c r="E7" s="8" t="n">
        <v>675</v>
      </c>
      <c r="F7" s="8" t="n">
        <v>1879</v>
      </c>
      <c r="G7" s="8" t="n">
        <v>1834</v>
      </c>
      <c r="H7" s="8" t="n">
        <v>4388</v>
      </c>
      <c r="I7" s="7">
        <f>D7+E7+F7+G7</f>
        <v/>
      </c>
    </row>
    <row r="8" ht="15.75" customHeight="1">
      <c r="A8" s="1" t="inlineStr">
        <is>
          <t>2014/15</t>
        </is>
      </c>
      <c r="B8" s="6" t="n">
        <v>42095</v>
      </c>
      <c r="C8" s="6" t="inlineStr">
        <is>
          <t>Apr</t>
        </is>
      </c>
      <c r="D8" s="7" t="n">
        <v>4870.807</v>
      </c>
      <c r="E8" s="8" t="n">
        <v>159</v>
      </c>
      <c r="F8" s="8" t="n">
        <v>2430</v>
      </c>
      <c r="G8" s="8" t="n">
        <v>2018</v>
      </c>
      <c r="H8" s="8" t="n">
        <v>4607</v>
      </c>
      <c r="I8" s="7">
        <f>D8+E8+F8+G8</f>
        <v/>
      </c>
    </row>
    <row r="9" ht="15.75" customHeight="1">
      <c r="A9" s="1" t="inlineStr">
        <is>
          <t>2014/15</t>
        </is>
      </c>
      <c r="B9" s="6" t="n">
        <v>42125</v>
      </c>
      <c r="C9" s="6" t="inlineStr">
        <is>
          <t>May</t>
        </is>
      </c>
      <c r="D9" s="7" t="n">
        <v>4843.312</v>
      </c>
      <c r="E9" s="8" t="n">
        <v>39</v>
      </c>
      <c r="F9" s="8" t="n">
        <v>1689</v>
      </c>
      <c r="G9" s="8" t="n">
        <v>2077</v>
      </c>
      <c r="H9" s="8" t="n">
        <v>3805</v>
      </c>
      <c r="I9" s="7">
        <f>D9+E9+F9+G9</f>
        <v/>
      </c>
    </row>
    <row r="10" ht="15.75" customHeight="1">
      <c r="A10" s="1" t="inlineStr">
        <is>
          <t>2014/15</t>
        </is>
      </c>
      <c r="B10" s="6" t="n">
        <v>42156</v>
      </c>
      <c r="C10" s="6" t="inlineStr">
        <is>
          <t>Jun</t>
        </is>
      </c>
      <c r="D10" s="7" t="n">
        <v>4244.821</v>
      </c>
      <c r="E10" s="8" t="n">
        <v>137</v>
      </c>
      <c r="F10" s="8" t="n">
        <v>2252</v>
      </c>
      <c r="G10" s="8" t="n">
        <v>1977</v>
      </c>
      <c r="H10" s="8" t="n">
        <v>4366</v>
      </c>
      <c r="I10" s="7">
        <f>D10+E10+F10+G10</f>
        <v/>
      </c>
    </row>
    <row r="11" ht="15.75" customHeight="1">
      <c r="A11" s="1" t="inlineStr">
        <is>
          <t>2014/15</t>
        </is>
      </c>
      <c r="B11" s="6" t="n">
        <v>42186</v>
      </c>
      <c r="C11" s="6" t="inlineStr">
        <is>
          <t>Jul</t>
        </is>
      </c>
      <c r="D11" s="7" t="n">
        <v>5082.937</v>
      </c>
      <c r="E11" s="8" t="n">
        <v>1280</v>
      </c>
      <c r="F11" s="8" t="n">
        <v>1972</v>
      </c>
      <c r="G11" s="8" t="n">
        <v>999</v>
      </c>
      <c r="H11" s="8" t="n">
        <v>4251</v>
      </c>
      <c r="I11" s="7">
        <f>D11+E11+F11+G11</f>
        <v/>
      </c>
    </row>
    <row r="12" ht="15.75" customHeight="1">
      <c r="A12" s="1" t="inlineStr">
        <is>
          <t>2014/15</t>
        </is>
      </c>
      <c r="B12" s="6" t="n">
        <v>42217</v>
      </c>
      <c r="C12" s="6" t="inlineStr">
        <is>
          <t>Aug</t>
        </is>
      </c>
      <c r="D12" s="7" t="n">
        <v>4022.37</v>
      </c>
      <c r="E12" s="8" t="n">
        <v>2284</v>
      </c>
      <c r="F12" s="8" t="n">
        <v>1511</v>
      </c>
      <c r="G12" s="8" t="n">
        <v>309</v>
      </c>
      <c r="H12" s="8" t="n">
        <v>4104</v>
      </c>
      <c r="I12" s="7">
        <f>D12+E12+F12+G12</f>
        <v/>
      </c>
    </row>
    <row r="13" ht="15.75" customHeight="1">
      <c r="A13" s="1" t="inlineStr">
        <is>
          <t>2014/15</t>
        </is>
      </c>
      <c r="B13" s="6" t="n">
        <v>42248</v>
      </c>
      <c r="C13" s="6" t="inlineStr">
        <is>
          <t>Sep</t>
        </is>
      </c>
      <c r="D13" s="7" t="n">
        <v>3364.91</v>
      </c>
      <c r="E13" s="8" t="n">
        <v>3455</v>
      </c>
      <c r="F13" s="8" t="n">
        <v>1407</v>
      </c>
      <c r="G13" s="8" t="n">
        <v>150</v>
      </c>
      <c r="H13" s="8" t="n">
        <v>5012</v>
      </c>
      <c r="I13" s="7">
        <f>D13+E13+F13+G13</f>
        <v/>
      </c>
    </row>
    <row r="14" ht="15.75" customHeight="1">
      <c r="A14" s="1" t="inlineStr">
        <is>
          <t>2015/16</t>
        </is>
      </c>
      <c r="B14" s="6" t="n">
        <v>42278</v>
      </c>
      <c r="C14" s="6" t="inlineStr">
        <is>
          <t>Oct</t>
        </is>
      </c>
      <c r="D14" s="7" t="n">
        <v>2365.548</v>
      </c>
      <c r="E14" s="8" t="n">
        <v>5548</v>
      </c>
      <c r="F14" s="8" t="n">
        <v>1090</v>
      </c>
      <c r="G14" s="8" t="n">
        <v>1317</v>
      </c>
      <c r="H14" s="8" t="n">
        <v>7955</v>
      </c>
      <c r="I14" s="7">
        <f>D14+E14+F14+G14</f>
        <v/>
      </c>
    </row>
    <row r="15" ht="15.75" customHeight="1">
      <c r="A15" s="1" t="inlineStr">
        <is>
          <t>2015/16</t>
        </is>
      </c>
      <c r="B15" s="6" t="n">
        <v>42309</v>
      </c>
      <c r="C15" s="6" t="inlineStr">
        <is>
          <t>Nov</t>
        </is>
      </c>
      <c r="D15" s="7" t="n">
        <v>1906.383</v>
      </c>
      <c r="E15" s="8" t="n">
        <v>4757</v>
      </c>
      <c r="F15" s="8" t="n">
        <v>503</v>
      </c>
      <c r="G15" s="8" t="n">
        <v>1878</v>
      </c>
      <c r="H15" s="8" t="n">
        <v>7138</v>
      </c>
      <c r="I15" s="7">
        <f>D15+E15+F15+G15</f>
        <v/>
      </c>
    </row>
    <row r="16" ht="15.75" customHeight="1">
      <c r="A16" s="1" t="inlineStr">
        <is>
          <t>2015/16</t>
        </is>
      </c>
      <c r="B16" s="6" t="n">
        <v>42339</v>
      </c>
      <c r="C16" s="6" t="inlineStr">
        <is>
          <t>Dec</t>
        </is>
      </c>
      <c r="D16" s="7" t="n">
        <v>2667.637</v>
      </c>
      <c r="E16" s="8" t="n">
        <v>6268</v>
      </c>
      <c r="F16" s="8" t="n">
        <v>417</v>
      </c>
      <c r="G16" s="8" t="n">
        <v>2375</v>
      </c>
      <c r="H16" s="8" t="n">
        <v>9060</v>
      </c>
      <c r="I16" s="7">
        <f>D16+E16+F16+G16</f>
        <v/>
      </c>
    </row>
    <row r="17" ht="15.75" customHeight="1">
      <c r="A17" s="1" t="inlineStr">
        <is>
          <t>2015/16</t>
        </is>
      </c>
      <c r="B17" s="6" t="n">
        <v>42370</v>
      </c>
      <c r="C17" s="6" t="inlineStr">
        <is>
          <t>Jan</t>
        </is>
      </c>
      <c r="D17" s="7" t="n">
        <v>2659.881</v>
      </c>
      <c r="E17" s="8" t="n">
        <v>4437</v>
      </c>
      <c r="F17" s="8" t="n">
        <v>1194</v>
      </c>
      <c r="G17" s="8" t="n">
        <v>1675</v>
      </c>
      <c r="H17" s="8" t="n">
        <v>7306</v>
      </c>
      <c r="I17" s="7">
        <f>D17+E17+F17+G17</f>
        <v/>
      </c>
    </row>
    <row r="18" ht="15.75" customHeight="1">
      <c r="A18" s="1" t="inlineStr">
        <is>
          <t>2015/16</t>
        </is>
      </c>
      <c r="B18" s="6" t="n">
        <v>42401</v>
      </c>
      <c r="C18" s="6" t="inlineStr">
        <is>
          <t>Feb</t>
        </is>
      </c>
      <c r="D18" s="7" t="n">
        <v>3316.891</v>
      </c>
      <c r="E18" s="8" t="n">
        <v>5374</v>
      </c>
      <c r="F18" s="8" t="n">
        <v>2605</v>
      </c>
      <c r="G18" s="8" t="n">
        <v>2370</v>
      </c>
      <c r="H18" s="8" t="n">
        <v>10349</v>
      </c>
      <c r="I18" s="7">
        <f>D18+E18+F18+G18</f>
        <v/>
      </c>
    </row>
    <row r="19" ht="15.75" customHeight="1">
      <c r="A19" s="1" t="inlineStr">
        <is>
          <t>2015/16</t>
        </is>
      </c>
      <c r="B19" s="6" t="n">
        <v>42430</v>
      </c>
      <c r="C19" s="6" t="inlineStr">
        <is>
          <t>Mar</t>
        </is>
      </c>
      <c r="D19" s="7" t="n">
        <v>4454.94</v>
      </c>
      <c r="E19" s="8" t="n">
        <v>2024</v>
      </c>
      <c r="F19" s="8" t="n">
        <v>2789</v>
      </c>
      <c r="G19" s="8" t="n">
        <v>2366</v>
      </c>
      <c r="H19" s="8" t="n">
        <v>7179</v>
      </c>
      <c r="I19" s="7">
        <f>D19+E19+F19+G19</f>
        <v/>
      </c>
    </row>
    <row r="20" ht="15.75" customHeight="1">
      <c r="A20" s="1" t="inlineStr">
        <is>
          <t>2015/16</t>
        </is>
      </c>
      <c r="B20" s="6" t="n">
        <v>42461</v>
      </c>
      <c r="C20" s="6" t="inlineStr">
        <is>
          <t>Apr</t>
        </is>
      </c>
      <c r="D20" s="7" t="n">
        <v>5010.366</v>
      </c>
      <c r="E20" s="8" t="n">
        <v>368</v>
      </c>
      <c r="F20" s="8" t="n">
        <v>1972</v>
      </c>
      <c r="G20" s="8" t="n">
        <v>2041</v>
      </c>
      <c r="H20" s="8" t="n">
        <v>4381</v>
      </c>
      <c r="I20" s="7">
        <f>D20+E20+F20+G20</f>
        <v/>
      </c>
    </row>
    <row r="21" ht="15.75" customHeight="1">
      <c r="A21" s="1" t="inlineStr">
        <is>
          <t>2015/16</t>
        </is>
      </c>
      <c r="B21" s="6" t="n">
        <v>42491</v>
      </c>
      <c r="C21" s="6" t="inlineStr">
        <is>
          <t>May</t>
        </is>
      </c>
      <c r="D21" s="7" t="n">
        <v>4804.618</v>
      </c>
      <c r="E21" s="8" t="n">
        <v>27</v>
      </c>
      <c r="F21" s="8" t="n">
        <v>1601</v>
      </c>
      <c r="G21" s="8" t="n">
        <v>1002</v>
      </c>
      <c r="H21" s="8" t="n">
        <v>2630</v>
      </c>
      <c r="I21" s="7">
        <f>D21+E21+F21+G21</f>
        <v/>
      </c>
    </row>
    <row r="22" ht="15.75" customHeight="1">
      <c r="A22" s="1" t="inlineStr">
        <is>
          <t>2015/16</t>
        </is>
      </c>
      <c r="B22" s="6" t="n">
        <v>42522</v>
      </c>
      <c r="C22" s="6" t="inlineStr">
        <is>
          <t>Jun</t>
        </is>
      </c>
      <c r="D22" s="7" t="n">
        <v>6075.915</v>
      </c>
      <c r="E22" s="8" t="n">
        <v>19</v>
      </c>
      <c r="F22" s="8" t="n">
        <v>1514</v>
      </c>
      <c r="G22" s="8" t="n">
        <v>920</v>
      </c>
      <c r="H22" s="8" t="n">
        <v>2453</v>
      </c>
      <c r="I22" s="7">
        <f>D22+E22+F22+G22</f>
        <v/>
      </c>
    </row>
    <row r="23" ht="15.75" customHeight="1">
      <c r="A23" s="1" t="inlineStr">
        <is>
          <t>2015/16</t>
        </is>
      </c>
      <c r="B23" s="6" t="n">
        <v>42552</v>
      </c>
      <c r="C23" s="6" t="inlineStr">
        <is>
          <t>Jul</t>
        </is>
      </c>
      <c r="D23" s="7" t="n">
        <v>5759.352</v>
      </c>
      <c r="E23" s="8" t="n">
        <v>1046</v>
      </c>
      <c r="F23" s="8" t="n">
        <v>2052</v>
      </c>
      <c r="G23" s="8" t="n">
        <v>439</v>
      </c>
      <c r="H23" s="8" t="n">
        <v>3537</v>
      </c>
      <c r="I23" s="7">
        <f>D23+E23+F23+G23</f>
        <v/>
      </c>
    </row>
    <row r="24" ht="15.75" customHeight="1">
      <c r="A24" s="1" t="inlineStr">
        <is>
          <t>2015/16</t>
        </is>
      </c>
      <c r="B24" s="6" t="n">
        <v>42583</v>
      </c>
      <c r="C24" s="6" t="inlineStr">
        <is>
          <t>Aug</t>
        </is>
      </c>
      <c r="D24" s="7" t="n">
        <v>5776.139</v>
      </c>
      <c r="E24" s="8" t="n">
        <v>2565</v>
      </c>
      <c r="F24" s="8" t="n">
        <v>4105</v>
      </c>
      <c r="G24" s="8" t="n">
        <v>136</v>
      </c>
      <c r="H24" s="8" t="n">
        <v>6806</v>
      </c>
      <c r="I24" s="7">
        <f>D24+E24+F24+G24</f>
        <v/>
      </c>
    </row>
    <row r="25" ht="15.75" customHeight="1">
      <c r="A25" s="1" t="inlineStr">
        <is>
          <t>2015/16</t>
        </is>
      </c>
      <c r="B25" s="6" t="n">
        <v>42614</v>
      </c>
      <c r="C25" s="6" t="inlineStr">
        <is>
          <t>Sep</t>
        </is>
      </c>
      <c r="D25" s="7" t="n">
        <v>6191.775</v>
      </c>
      <c r="E25" s="8" t="n">
        <v>2913</v>
      </c>
      <c r="F25" s="8" t="n">
        <v>1823</v>
      </c>
      <c r="G25" s="8" t="n">
        <v>68</v>
      </c>
      <c r="H25" s="8" t="n">
        <v>4804</v>
      </c>
      <c r="I25" s="7">
        <f>D25+E25+F25+G25</f>
        <v/>
      </c>
    </row>
    <row r="26" ht="15.75" customHeight="1">
      <c r="A26" s="1" t="inlineStr">
        <is>
          <t>2016/17</t>
        </is>
      </c>
      <c r="B26" s="6" t="n">
        <v>42644</v>
      </c>
      <c r="C26" s="6" t="inlineStr">
        <is>
          <t>Oct</t>
        </is>
      </c>
      <c r="D26" s="7" t="n">
        <v>3659.66</v>
      </c>
      <c r="E26" s="8" t="n">
        <v>1102</v>
      </c>
      <c r="F26" s="8" t="n">
        <v>2040</v>
      </c>
      <c r="G26" s="8" t="n">
        <v>1355</v>
      </c>
      <c r="H26" s="8" t="n">
        <v>4497</v>
      </c>
      <c r="I26" s="7">
        <f>D26+E26+F26+G26</f>
        <v/>
      </c>
    </row>
    <row r="27" ht="15.75" customHeight="1">
      <c r="A27" s="1" t="inlineStr">
        <is>
          <t>2016/17</t>
        </is>
      </c>
      <c r="B27" s="6" t="n">
        <v>42675</v>
      </c>
      <c r="C27" s="6" t="inlineStr">
        <is>
          <t>Nov</t>
        </is>
      </c>
      <c r="D27" s="7" t="n">
        <v>4049.313</v>
      </c>
      <c r="E27" s="8" t="n">
        <v>961</v>
      </c>
      <c r="F27" s="8" t="n">
        <v>1772</v>
      </c>
      <c r="G27" s="8" t="n">
        <v>2264</v>
      </c>
      <c r="H27" s="8" t="n">
        <v>4997</v>
      </c>
      <c r="I27" s="7">
        <f>D27+E27+F27+G27</f>
        <v/>
      </c>
    </row>
    <row r="28" ht="15.75" customHeight="1">
      <c r="A28" s="1" t="inlineStr">
        <is>
          <t>2016/17</t>
        </is>
      </c>
      <c r="B28" s="6" t="n">
        <v>42705</v>
      </c>
      <c r="C28" s="6" t="inlineStr">
        <is>
          <t>Dec</t>
        </is>
      </c>
      <c r="D28" s="7" t="n">
        <v>3906.534</v>
      </c>
      <c r="E28" s="8" t="n">
        <v>1006</v>
      </c>
      <c r="F28" s="8" t="n">
        <v>1017</v>
      </c>
      <c r="G28" s="8" t="n">
        <v>2647</v>
      </c>
      <c r="H28" s="8" t="n">
        <v>4670</v>
      </c>
      <c r="I28" s="7">
        <f>D28+E28+F28+G28</f>
        <v/>
      </c>
    </row>
    <row r="29" ht="15.75" customHeight="1">
      <c r="A29" s="1" t="inlineStr">
        <is>
          <t>2016/17</t>
        </is>
      </c>
      <c r="B29" s="6" t="n">
        <v>42736</v>
      </c>
      <c r="C29" s="6" t="inlineStr">
        <is>
          <t>Jan</t>
        </is>
      </c>
      <c r="D29" s="7" t="n">
        <v>4630.052</v>
      </c>
      <c r="E29" s="8" t="n">
        <v>1451</v>
      </c>
      <c r="F29" s="8" t="n">
        <v>701</v>
      </c>
      <c r="G29" s="8" t="n">
        <v>2312</v>
      </c>
      <c r="H29" s="8" t="n">
        <v>4464</v>
      </c>
      <c r="I29" s="7">
        <f>D29+E29+F29+G29</f>
        <v/>
      </c>
    </row>
    <row r="30" ht="15.75" customHeight="1">
      <c r="A30" s="1" t="inlineStr">
        <is>
          <t>2016/17</t>
        </is>
      </c>
      <c r="B30" s="6" t="n">
        <v>42767</v>
      </c>
      <c r="C30" s="6" t="inlineStr">
        <is>
          <t>Feb</t>
        </is>
      </c>
      <c r="D30" s="7" t="n">
        <v>5107.673</v>
      </c>
      <c r="E30" s="8" t="n">
        <v>487</v>
      </c>
      <c r="F30" s="8" t="n">
        <v>244</v>
      </c>
      <c r="G30" s="8" t="n">
        <v>1812</v>
      </c>
      <c r="H30" s="8" t="n">
        <v>2543</v>
      </c>
      <c r="I30" s="7">
        <f>D30+E30+F30+G30</f>
        <v/>
      </c>
    </row>
    <row r="31" ht="15.75" customHeight="1">
      <c r="A31" s="1" t="inlineStr">
        <is>
          <t>2016/17</t>
        </is>
      </c>
      <c r="B31" s="6" t="n">
        <v>42795</v>
      </c>
      <c r="C31" s="6" t="inlineStr">
        <is>
          <t>Mar</t>
        </is>
      </c>
      <c r="D31" s="7" t="n">
        <v>6662.999</v>
      </c>
      <c r="E31" s="8" t="n">
        <v>243</v>
      </c>
      <c r="F31" s="8" t="n">
        <v>1896</v>
      </c>
      <c r="G31" s="8" t="n">
        <v>3125</v>
      </c>
      <c r="H31" s="8" t="n">
        <v>5264</v>
      </c>
      <c r="I31" s="7">
        <f>D31+E31+F31+G31</f>
        <v/>
      </c>
    </row>
    <row r="32" ht="15.75" customHeight="1">
      <c r="A32" s="1" t="inlineStr">
        <is>
          <t>2016/17</t>
        </is>
      </c>
      <c r="B32" s="6" t="n">
        <v>42826</v>
      </c>
      <c r="C32" s="6" t="inlineStr">
        <is>
          <t>Apr</t>
        </is>
      </c>
      <c r="D32" s="7" t="n">
        <v>5509.664</v>
      </c>
      <c r="E32" s="8" t="n">
        <v>155</v>
      </c>
      <c r="F32" s="8" t="n">
        <v>2819</v>
      </c>
      <c r="G32" s="8" t="n">
        <v>1946</v>
      </c>
      <c r="H32" s="8" t="n">
        <v>4920</v>
      </c>
      <c r="I32" s="7">
        <f>D32+E32+F32+G32</f>
        <v/>
      </c>
    </row>
    <row r="33" ht="15.75" customHeight="1">
      <c r="A33" s="1" t="inlineStr">
        <is>
          <t>2016/17</t>
        </is>
      </c>
      <c r="B33" s="6" t="n">
        <v>42856</v>
      </c>
      <c r="C33" s="6" t="inlineStr">
        <is>
          <t>May</t>
        </is>
      </c>
      <c r="D33" s="7" t="n">
        <v>5267.29</v>
      </c>
      <c r="E33" s="8" t="n">
        <v>310</v>
      </c>
      <c r="F33" s="8" t="n">
        <v>2223</v>
      </c>
      <c r="G33" s="8" t="n">
        <v>2654</v>
      </c>
      <c r="H33" s="8" t="n">
        <v>5187</v>
      </c>
      <c r="I33" s="7">
        <f>D33+E33+F33+G33</f>
        <v/>
      </c>
    </row>
    <row r="34" ht="15.75" customHeight="1">
      <c r="A34" s="1" t="inlineStr">
        <is>
          <t>2016/17</t>
        </is>
      </c>
      <c r="B34" s="6" t="n">
        <v>42887</v>
      </c>
      <c r="C34" s="6" t="inlineStr">
        <is>
          <t>Jun</t>
        </is>
      </c>
      <c r="D34" s="7" t="n">
        <v>4925.832</v>
      </c>
      <c r="E34" s="8" t="n">
        <v>563</v>
      </c>
      <c r="F34" s="8" t="n">
        <v>2117</v>
      </c>
      <c r="G34" s="8" t="n">
        <v>1948</v>
      </c>
      <c r="H34" s="8" t="n">
        <v>4628</v>
      </c>
      <c r="I34" s="7">
        <f>D34+E34+F34+G34</f>
        <v/>
      </c>
    </row>
    <row r="35" ht="15.75" customHeight="1">
      <c r="A35" s="1" t="inlineStr">
        <is>
          <t>2016/17</t>
        </is>
      </c>
      <c r="B35" s="6" t="n">
        <v>42917</v>
      </c>
      <c r="C35" s="6" t="inlineStr">
        <is>
          <t>Jul</t>
        </is>
      </c>
      <c r="D35" s="7" t="n">
        <v>4758.494</v>
      </c>
      <c r="E35" s="8" t="n">
        <v>2323</v>
      </c>
      <c r="F35" s="8" t="n">
        <v>3172</v>
      </c>
      <c r="G35" s="8" t="n">
        <v>873</v>
      </c>
      <c r="H35" s="8" t="n">
        <v>6368</v>
      </c>
      <c r="I35" s="7">
        <f>D35+E35+F35+G35</f>
        <v/>
      </c>
    </row>
    <row r="36" ht="15.75" customHeight="1">
      <c r="A36" s="1" t="inlineStr">
        <is>
          <t>2016/17</t>
        </is>
      </c>
      <c r="B36" s="6" t="n">
        <v>42948</v>
      </c>
      <c r="C36" s="6" t="inlineStr">
        <is>
          <t>Aug</t>
        </is>
      </c>
      <c r="D36" s="7" t="n">
        <v>3546.776</v>
      </c>
      <c r="E36" s="8" t="n">
        <v>5257</v>
      </c>
      <c r="F36" s="8" t="n">
        <v>2926</v>
      </c>
      <c r="G36" s="8" t="n">
        <v>270</v>
      </c>
      <c r="H36" s="8" t="n">
        <v>8453</v>
      </c>
      <c r="I36" s="7">
        <f>D36+E36+F36+G36</f>
        <v/>
      </c>
    </row>
    <row r="37" ht="15.75" customHeight="1">
      <c r="A37" s="1" t="inlineStr">
        <is>
          <t>2016/17</t>
        </is>
      </c>
      <c r="B37" s="6" t="n">
        <v>42979</v>
      </c>
      <c r="C37" s="6" t="inlineStr">
        <is>
          <t>Sep</t>
        </is>
      </c>
      <c r="D37" s="7" t="n">
        <v>3536.444</v>
      </c>
      <c r="E37" s="8" t="n">
        <v>5914</v>
      </c>
      <c r="F37" s="8" t="n">
        <v>1999</v>
      </c>
      <c r="G37" s="8" t="n">
        <v>119</v>
      </c>
      <c r="H37" s="8" t="n">
        <v>8032</v>
      </c>
      <c r="I37" s="7">
        <f>D37+E37+F37+G37</f>
        <v/>
      </c>
    </row>
    <row r="38" ht="15.75" customHeight="1">
      <c r="A38" s="1" t="inlineStr">
        <is>
          <t>2017/18</t>
        </is>
      </c>
      <c r="B38" s="6" t="n">
        <v>43009</v>
      </c>
      <c r="C38" s="6" t="inlineStr">
        <is>
          <t>Oct</t>
        </is>
      </c>
      <c r="D38" s="7" t="n">
        <v>2655.417</v>
      </c>
      <c r="E38" s="8" t="n">
        <v>5028</v>
      </c>
      <c r="F38" s="8" t="n">
        <v>2205</v>
      </c>
      <c r="G38" s="8" t="n">
        <v>501</v>
      </c>
      <c r="H38" s="8" t="n">
        <v>7734</v>
      </c>
      <c r="I38" s="7">
        <f>D38+E38+F38+G38</f>
        <v/>
      </c>
    </row>
    <row r="39" ht="15.75" customHeight="1">
      <c r="A39" s="1" t="inlineStr">
        <is>
          <t>2017/18</t>
        </is>
      </c>
      <c r="B39" s="6" t="n">
        <v>43040</v>
      </c>
      <c r="C39" s="6" t="inlineStr">
        <is>
          <t>Nov</t>
        </is>
      </c>
      <c r="D39" s="7" t="n">
        <v>2630.34</v>
      </c>
      <c r="E39" s="8" t="n">
        <v>3520</v>
      </c>
      <c r="F39" s="8" t="n">
        <v>1957</v>
      </c>
      <c r="G39" s="8" t="n">
        <v>1582</v>
      </c>
      <c r="H39" s="8" t="n">
        <v>7059</v>
      </c>
      <c r="I39" s="7">
        <f>D39+E39+F39+G39</f>
        <v/>
      </c>
    </row>
    <row r="40" ht="15.75" customHeight="1">
      <c r="A40" s="1" t="inlineStr">
        <is>
          <t>2017/18</t>
        </is>
      </c>
      <c r="B40" s="6" t="n">
        <v>43070</v>
      </c>
      <c r="C40" s="6" t="inlineStr">
        <is>
          <t>Dec</t>
        </is>
      </c>
      <c r="D40" s="7" t="n">
        <v>3558.591</v>
      </c>
      <c r="E40" s="8" t="n">
        <v>3994</v>
      </c>
      <c r="F40" s="8" t="n">
        <v>1433</v>
      </c>
      <c r="G40" s="8" t="n">
        <v>2245</v>
      </c>
      <c r="H40" s="8" t="n">
        <v>7672</v>
      </c>
      <c r="I40" s="7">
        <f>D40+E40+F40+G40</f>
        <v/>
      </c>
    </row>
    <row r="41" ht="15.75" customHeight="1">
      <c r="A41" s="1" t="inlineStr">
        <is>
          <t>2017/18</t>
        </is>
      </c>
      <c r="B41" s="6" t="n">
        <v>43101</v>
      </c>
      <c r="C41" s="6" t="inlineStr">
        <is>
          <t>Jan</t>
        </is>
      </c>
      <c r="D41" s="7" t="n">
        <v>3852.75</v>
      </c>
      <c r="E41" s="8" t="n">
        <v>3022</v>
      </c>
      <c r="F41" s="8" t="n">
        <v>1762</v>
      </c>
      <c r="G41" s="8" t="n">
        <v>2082</v>
      </c>
      <c r="H41" s="8" t="n">
        <v>6866</v>
      </c>
      <c r="I41" s="7">
        <f>D41+E41+F41+G41</f>
        <v/>
      </c>
    </row>
    <row r="42" ht="15.75" customHeight="1">
      <c r="A42" s="1" t="inlineStr">
        <is>
          <t>2017/18</t>
        </is>
      </c>
      <c r="B42" s="6" t="n">
        <v>43132</v>
      </c>
      <c r="C42" s="6" t="inlineStr">
        <is>
          <t>Feb</t>
        </is>
      </c>
      <c r="D42" s="7" t="n">
        <v>3899.957</v>
      </c>
      <c r="E42" s="8" t="n">
        <v>1254</v>
      </c>
      <c r="F42" s="8" t="n">
        <v>1464</v>
      </c>
      <c r="G42" s="8" t="n">
        <v>2025</v>
      </c>
      <c r="H42" s="8" t="n">
        <v>4743</v>
      </c>
      <c r="I42" s="7">
        <f>D42+E42+F42+G42</f>
        <v/>
      </c>
    </row>
    <row r="43" ht="15.75" customHeight="1">
      <c r="A43" s="1" t="inlineStr">
        <is>
          <t>2017/18</t>
        </is>
      </c>
      <c r="B43" s="6" t="n">
        <v>43160</v>
      </c>
      <c r="C43" s="6" t="inlineStr">
        <is>
          <t>Mar</t>
        </is>
      </c>
      <c r="D43" s="7" t="n">
        <v>6467.556</v>
      </c>
      <c r="E43" s="8" t="n">
        <v>605</v>
      </c>
      <c r="F43" s="8" t="n">
        <v>2586</v>
      </c>
      <c r="G43" s="8" t="n">
        <v>2489</v>
      </c>
      <c r="H43" s="8" t="n">
        <v>5680</v>
      </c>
      <c r="I43" s="7">
        <f>D43+E43+F43+G43</f>
        <v/>
      </c>
    </row>
    <row r="44" ht="15.75" customHeight="1">
      <c r="A44" s="1" t="inlineStr">
        <is>
          <t>2017/18</t>
        </is>
      </c>
      <c r="B44" s="6" t="n">
        <v>43191</v>
      </c>
      <c r="C44" s="6" t="inlineStr">
        <is>
          <t>Apr</t>
        </is>
      </c>
      <c r="D44" s="7" t="n">
        <v>7649.266</v>
      </c>
      <c r="E44" s="8" t="n">
        <v>115</v>
      </c>
      <c r="F44" s="8" t="n">
        <v>2478</v>
      </c>
      <c r="G44" s="8" t="n">
        <v>2299</v>
      </c>
      <c r="H44" s="8" t="n">
        <v>4892</v>
      </c>
      <c r="I44" s="7">
        <f>D44+E44+F44+G44</f>
        <v/>
      </c>
    </row>
    <row r="45" ht="15.75" customHeight="1">
      <c r="A45" s="1" t="inlineStr">
        <is>
          <t>2017/18</t>
        </is>
      </c>
      <c r="B45" s="6" t="n">
        <v>43221</v>
      </c>
      <c r="C45" s="6" t="inlineStr">
        <is>
          <t>May</t>
        </is>
      </c>
      <c r="D45" s="7" t="n">
        <v>7760.819</v>
      </c>
      <c r="E45" s="8" t="n">
        <v>57</v>
      </c>
      <c r="F45" s="8" t="n">
        <v>1812</v>
      </c>
      <c r="G45" s="8" t="n">
        <v>1811</v>
      </c>
      <c r="H45" s="8" t="n">
        <v>3680</v>
      </c>
      <c r="I45" s="7">
        <f>D45+E45+F45+G45</f>
        <v/>
      </c>
    </row>
    <row r="46" ht="15.75" customHeight="1">
      <c r="A46" s="1" t="inlineStr">
        <is>
          <t>2017/18</t>
        </is>
      </c>
      <c r="B46" s="6" t="n">
        <v>43252</v>
      </c>
      <c r="C46" s="6" t="inlineStr">
        <is>
          <t>Jun</t>
        </is>
      </c>
      <c r="D46" s="7" t="n">
        <v>7187.988</v>
      </c>
      <c r="E46" s="8" t="n">
        <v>143</v>
      </c>
      <c r="F46" s="8" t="n">
        <v>1762</v>
      </c>
      <c r="G46" s="8" t="n">
        <v>1469</v>
      </c>
      <c r="H46" s="8" t="n">
        <v>3374</v>
      </c>
      <c r="I46" s="7">
        <f>D46+E46+F46+G46</f>
        <v/>
      </c>
    </row>
    <row r="47" ht="15.75" customHeight="1">
      <c r="A47" s="1" t="inlineStr">
        <is>
          <t>2017/18</t>
        </is>
      </c>
      <c r="B47" s="6" t="n">
        <v>43282</v>
      </c>
      <c r="C47" s="6" t="inlineStr">
        <is>
          <t>Jul</t>
        </is>
      </c>
      <c r="D47" s="7" t="n">
        <v>6770.832</v>
      </c>
      <c r="E47" s="8" t="n">
        <v>1170</v>
      </c>
      <c r="F47" s="8" t="n">
        <v>2493</v>
      </c>
      <c r="G47" s="8" t="n">
        <v>700</v>
      </c>
      <c r="H47" s="8" t="n">
        <v>4363</v>
      </c>
      <c r="I47" s="7">
        <f>D47+E47+F47+G47</f>
        <v/>
      </c>
    </row>
    <row r="48" ht="15.75" customHeight="1">
      <c r="A48" s="1" t="inlineStr">
        <is>
          <t>2017/18</t>
        </is>
      </c>
      <c r="B48" s="6" t="n">
        <v>43313</v>
      </c>
      <c r="C48" s="6" t="inlineStr">
        <is>
          <t>Aug</t>
        </is>
      </c>
      <c r="D48" s="7" t="n">
        <v>5844.367</v>
      </c>
      <c r="E48" s="8" t="n">
        <v>2826</v>
      </c>
      <c r="F48" s="8" t="n">
        <v>2418</v>
      </c>
      <c r="G48" s="8" t="n">
        <v>542</v>
      </c>
      <c r="H48" s="8" t="n">
        <v>5786</v>
      </c>
      <c r="I48" s="7">
        <f>D48+E48+F48+G48</f>
        <v/>
      </c>
    </row>
    <row r="49" ht="15.75" customHeight="1">
      <c r="A49" s="1" t="inlineStr">
        <is>
          <t>2017/18</t>
        </is>
      </c>
      <c r="B49" s="6" t="n">
        <v>43344</v>
      </c>
      <c r="C49" s="6" t="inlineStr">
        <is>
          <t>Sep</t>
        </is>
      </c>
      <c r="D49" s="7" t="n">
        <v>5291.118</v>
      </c>
      <c r="E49" s="8" t="n">
        <v>3361</v>
      </c>
      <c r="F49" s="8" t="n">
        <v>1814</v>
      </c>
      <c r="G49" s="8" t="n">
        <v>285</v>
      </c>
      <c r="H49" s="8" t="n">
        <v>5460</v>
      </c>
      <c r="I49" s="7">
        <f>D49+E49+F49+G49</f>
        <v/>
      </c>
    </row>
    <row r="50" ht="15.75" customHeight="1">
      <c r="A50" s="1" t="inlineStr">
        <is>
          <t>2018/19</t>
        </is>
      </c>
      <c r="B50" s="6" t="n">
        <v>43374</v>
      </c>
      <c r="C50" s="6" t="inlineStr">
        <is>
          <t>Oct</t>
        </is>
      </c>
      <c r="D50" s="7" t="n">
        <v>5660.29</v>
      </c>
      <c r="E50" s="8" t="n">
        <v>3106</v>
      </c>
      <c r="F50" s="8" t="n">
        <v>2024</v>
      </c>
      <c r="G50" s="8" t="n">
        <v>1348</v>
      </c>
      <c r="H50" s="8" t="n">
        <v>6478</v>
      </c>
      <c r="I50" s="7">
        <f>D50+E50+F50+G50</f>
        <v/>
      </c>
    </row>
    <row r="51" ht="15.75" customHeight="1">
      <c r="A51" s="1" t="inlineStr">
        <is>
          <t>2018/19</t>
        </is>
      </c>
      <c r="B51" s="6" t="n">
        <v>43405</v>
      </c>
      <c r="C51" s="6" t="inlineStr">
        <is>
          <t>Nov</t>
        </is>
      </c>
      <c r="D51" s="7" t="n">
        <v>5084.145</v>
      </c>
      <c r="E51" s="8" t="n">
        <v>3646</v>
      </c>
      <c r="F51" s="8" t="n">
        <v>1243</v>
      </c>
      <c r="G51" s="8" t="n">
        <v>3119</v>
      </c>
      <c r="H51" s="8" t="n">
        <v>8008</v>
      </c>
      <c r="I51" s="7">
        <f>D51+E51+F51+G51</f>
        <v/>
      </c>
    </row>
    <row r="52" ht="15.75" customHeight="1">
      <c r="A52" s="1" t="inlineStr">
        <is>
          <t>2018/19</t>
        </is>
      </c>
      <c r="B52" s="6" t="n">
        <v>43435</v>
      </c>
      <c r="C52" s="6" t="inlineStr">
        <is>
          <t>Dec</t>
        </is>
      </c>
      <c r="D52" s="7" t="n">
        <v>4302.823</v>
      </c>
      <c r="E52" s="8" t="n">
        <v>3637</v>
      </c>
      <c r="F52" s="8" t="n">
        <v>1387</v>
      </c>
      <c r="G52" s="8" t="n">
        <v>3261</v>
      </c>
      <c r="H52" s="8" t="n">
        <v>8285</v>
      </c>
      <c r="I52" s="7">
        <f>D52+E52+F52+G52</f>
        <v/>
      </c>
    </row>
    <row r="53" ht="15.75" customHeight="1">
      <c r="A53" s="1" t="inlineStr">
        <is>
          <t>2018/19</t>
        </is>
      </c>
      <c r="B53" s="6" t="n">
        <v>43466</v>
      </c>
      <c r="C53" s="6" t="inlineStr">
        <is>
          <t>Jan</t>
        </is>
      </c>
      <c r="D53" s="7" t="n">
        <v>4778.01</v>
      </c>
      <c r="E53" s="8" t="n">
        <v>3832</v>
      </c>
      <c r="F53" s="8" t="n">
        <v>1036</v>
      </c>
      <c r="G53" s="8" t="n">
        <v>3378</v>
      </c>
      <c r="H53" s="8" t="n">
        <v>8246</v>
      </c>
      <c r="I53" s="7">
        <f>D53+E53+F53+G53</f>
        <v/>
      </c>
    </row>
    <row r="54" ht="15.75" customHeight="1">
      <c r="A54" s="1" t="inlineStr">
        <is>
          <t>2018/19</t>
        </is>
      </c>
      <c r="B54" s="6" t="n">
        <v>43525</v>
      </c>
      <c r="C54" s="6" t="inlineStr">
        <is>
          <t>Mar</t>
        </is>
      </c>
      <c r="D54" s="7" t="n">
        <v>4652.472</v>
      </c>
      <c r="E54" s="8" t="n">
        <v>827</v>
      </c>
      <c r="F54" s="8" t="n">
        <v>3692</v>
      </c>
      <c r="G54" s="8" t="n">
        <v>3771</v>
      </c>
      <c r="H54" s="8" t="n">
        <v>8290</v>
      </c>
      <c r="I54" s="7">
        <f>D54+E54+F54+G54</f>
        <v/>
      </c>
    </row>
    <row r="55" ht="15.75" customHeight="1">
      <c r="A55" s="1" t="inlineStr">
        <is>
          <t>2018/19</t>
        </is>
      </c>
      <c r="B55" s="6" t="n">
        <v>43556</v>
      </c>
      <c r="C55" s="6" t="inlineStr">
        <is>
          <t>Apr</t>
        </is>
      </c>
      <c r="D55" s="7" t="n">
        <v>5471.955</v>
      </c>
      <c r="E55" s="8" t="n">
        <v>348</v>
      </c>
      <c r="F55" s="8" t="n">
        <v>3882</v>
      </c>
      <c r="G55" s="8" t="n">
        <v>3653</v>
      </c>
      <c r="H55" s="8" t="n">
        <v>7883</v>
      </c>
      <c r="I55" s="7">
        <f>D55+E55+F55+G55</f>
        <v/>
      </c>
    </row>
    <row r="56" ht="15.75" customHeight="1">
      <c r="A56" s="1" t="inlineStr">
        <is>
          <t>2018/19</t>
        </is>
      </c>
      <c r="B56" s="6" t="n">
        <v>43586</v>
      </c>
      <c r="C56" s="6" t="inlineStr">
        <is>
          <t>May</t>
        </is>
      </c>
      <c r="D56" s="7" t="n">
        <v>4746.854</v>
      </c>
      <c r="E56" s="8" t="n">
        <v>954</v>
      </c>
      <c r="F56" s="8" t="n">
        <v>4093</v>
      </c>
      <c r="G56" s="8" t="n">
        <v>3805</v>
      </c>
      <c r="H56" s="8" t="n">
        <v>8852</v>
      </c>
      <c r="I56" s="7">
        <f>D56+E56+F56+G56</f>
        <v/>
      </c>
    </row>
    <row r="57" ht="15.75" customHeight="1">
      <c r="A57" s="1" t="inlineStr">
        <is>
          <t>2018/19</t>
        </is>
      </c>
      <c r="B57" s="6" t="n">
        <v>43617</v>
      </c>
      <c r="C57" s="6" t="inlineStr">
        <is>
          <t>Jun</t>
        </is>
      </c>
      <c r="D57" s="7" t="n">
        <v>2972.399</v>
      </c>
      <c r="E57" s="8" t="n">
        <v>1114</v>
      </c>
      <c r="F57" s="8" t="n">
        <v>2987</v>
      </c>
      <c r="G57" s="8" t="n">
        <v>2211</v>
      </c>
      <c r="H57" s="8" t="n">
        <v>6312</v>
      </c>
      <c r="I57" s="7">
        <f>D57+E57+F57+G57</f>
        <v/>
      </c>
    </row>
    <row r="58" ht="15.75" customHeight="1">
      <c r="A58" s="1" t="inlineStr">
        <is>
          <t>2018/19</t>
        </is>
      </c>
      <c r="B58" s="6" t="n">
        <v>43647</v>
      </c>
      <c r="C58" s="6" t="inlineStr">
        <is>
          <t>Jul</t>
        </is>
      </c>
      <c r="D58" s="7" t="n">
        <v>3125.518</v>
      </c>
      <c r="E58" s="8" t="n">
        <v>5926</v>
      </c>
      <c r="F58" s="8" t="n">
        <v>4426</v>
      </c>
      <c r="G58" s="8" t="n">
        <v>1575</v>
      </c>
      <c r="H58" s="8" t="n">
        <v>11927</v>
      </c>
      <c r="I58" s="7">
        <f>D58+E58+F58+G58</f>
        <v/>
      </c>
    </row>
    <row r="59" ht="15.75" customHeight="1">
      <c r="A59" s="1" t="inlineStr">
        <is>
          <t>2018/19</t>
        </is>
      </c>
      <c r="B59" s="6" t="n">
        <v>43678</v>
      </c>
      <c r="C59" s="6" t="inlineStr">
        <is>
          <t>Aug</t>
        </is>
      </c>
      <c r="D59" s="7" t="n">
        <v>2795.105</v>
      </c>
      <c r="E59" s="8" t="n">
        <v>7316</v>
      </c>
      <c r="F59" s="8" t="n">
        <v>3429</v>
      </c>
      <c r="G59" s="8" t="n">
        <v>279</v>
      </c>
      <c r="H59" s="8" t="n">
        <v>11024</v>
      </c>
      <c r="I59" s="7">
        <f>D59+E59+F59+G59</f>
        <v/>
      </c>
    </row>
    <row r="60" ht="15.75" customHeight="1">
      <c r="A60" s="1" t="inlineStr">
        <is>
          <t>2018/19</t>
        </is>
      </c>
      <c r="B60" s="6" t="n">
        <v>43709</v>
      </c>
      <c r="C60" s="6" t="inlineStr">
        <is>
          <t>Sep</t>
        </is>
      </c>
      <c r="D60" s="7" t="n">
        <v>2051.727</v>
      </c>
      <c r="E60" s="8" t="n">
        <v>6439</v>
      </c>
      <c r="F60" s="8" t="n">
        <v>3261</v>
      </c>
      <c r="G60" s="8" t="n">
        <v>175</v>
      </c>
      <c r="H60" s="8" t="n">
        <v>9875</v>
      </c>
      <c r="I60" s="7">
        <f>D60+E60+F60+G60</f>
        <v/>
      </c>
    </row>
    <row r="61" ht="15.75" customHeight="1">
      <c r="A61" s="1" t="inlineStr">
        <is>
          <t>2019/20</t>
        </is>
      </c>
      <c r="B61" s="6" t="n">
        <v>43739</v>
      </c>
      <c r="C61" s="6" t="inlineStr">
        <is>
          <t>Oct</t>
        </is>
      </c>
      <c r="D61" s="7" t="n">
        <v>2306.111</v>
      </c>
      <c r="E61" s="8" t="n">
        <v>6021</v>
      </c>
      <c r="F61" s="8" t="n">
        <v>3187</v>
      </c>
      <c r="G61" s="8" t="n">
        <v>2291</v>
      </c>
      <c r="H61" s="8" t="n">
        <v>11499</v>
      </c>
      <c r="I61" s="7">
        <f>D61+E61+F61+G61</f>
        <v/>
      </c>
    </row>
    <row r="62" ht="15.75" customHeight="1">
      <c r="A62" s="1" t="inlineStr">
        <is>
          <t>2019/20</t>
        </is>
      </c>
      <c r="B62" s="6" t="n">
        <v>43770</v>
      </c>
      <c r="C62" s="6" t="inlineStr">
        <is>
          <t>Nov</t>
        </is>
      </c>
      <c r="D62" s="7" t="n">
        <v>2506.248</v>
      </c>
      <c r="E62" s="8" t="n">
        <v>4107</v>
      </c>
      <c r="F62" s="8" t="n">
        <v>2864</v>
      </c>
      <c r="G62" s="8" t="n">
        <v>3201</v>
      </c>
      <c r="H62" s="8" t="n">
        <v>10172</v>
      </c>
      <c r="I62" s="7">
        <f>D62+E62+F62+G62</f>
        <v/>
      </c>
    </row>
    <row r="63" ht="15.75" customHeight="1">
      <c r="A63" s="1" t="inlineStr">
        <is>
          <t>2019/20</t>
        </is>
      </c>
      <c r="B63" s="6" t="n">
        <v>43800</v>
      </c>
      <c r="C63" s="6" t="inlineStr">
        <is>
          <t>Dec</t>
        </is>
      </c>
      <c r="D63" s="7" t="n">
        <v>2569.92</v>
      </c>
      <c r="E63" s="8" t="n">
        <v>4160</v>
      </c>
      <c r="F63" s="8" t="n">
        <v>1885</v>
      </c>
      <c r="G63" s="8" t="n">
        <v>4257</v>
      </c>
      <c r="H63" s="8" t="n">
        <v>10302</v>
      </c>
      <c r="I63" s="7">
        <f>D63+E63+F63+G63</f>
        <v/>
      </c>
    </row>
    <row r="64" ht="15.75" customHeight="1">
      <c r="A64" s="1" t="inlineStr">
        <is>
          <t>2019/20</t>
        </is>
      </c>
      <c r="B64" s="6" t="n">
        <v>43831</v>
      </c>
      <c r="C64" s="6" t="inlineStr">
        <is>
          <t>Jan</t>
        </is>
      </c>
      <c r="D64" s="7" t="n">
        <v>2474.865</v>
      </c>
      <c r="E64" s="8" t="n">
        <v>2086</v>
      </c>
      <c r="F64" s="8" t="n">
        <v>1862</v>
      </c>
      <c r="G64" s="8" t="n">
        <v>4542</v>
      </c>
      <c r="H64" s="8" t="n">
        <v>8490</v>
      </c>
      <c r="I64" s="7">
        <f>D64+E64+F64+G64</f>
        <v/>
      </c>
    </row>
    <row r="65" ht="15.75" customHeight="1">
      <c r="A65" s="1" t="inlineStr">
        <is>
          <t>2019/20</t>
        </is>
      </c>
      <c r="B65" s="6" t="n">
        <v>43862</v>
      </c>
      <c r="C65" s="6" t="inlineStr">
        <is>
          <t>Feb</t>
        </is>
      </c>
      <c r="D65" s="7" t="n">
        <v>3906.41</v>
      </c>
      <c r="E65" s="8" t="n">
        <v>339</v>
      </c>
      <c r="F65" s="8" t="n">
        <v>1663</v>
      </c>
      <c r="G65" s="8" t="n">
        <v>3455</v>
      </c>
      <c r="H65" s="8" t="n">
        <v>5457</v>
      </c>
      <c r="I65" s="7">
        <f>D65+E65+F65+G65</f>
        <v/>
      </c>
    </row>
    <row r="66" ht="15.75" customHeight="1">
      <c r="A66" s="1" t="inlineStr">
        <is>
          <t>2019/20</t>
        </is>
      </c>
      <c r="B66" s="6" t="n">
        <v>43891</v>
      </c>
      <c r="C66" s="6" t="inlineStr">
        <is>
          <t>Mar</t>
        </is>
      </c>
      <c r="D66" s="7" t="n">
        <v>4612.77</v>
      </c>
      <c r="E66" s="8" t="n">
        <v>471</v>
      </c>
      <c r="F66" s="8" t="n">
        <v>3652</v>
      </c>
      <c r="G66" s="8" t="n">
        <v>3526</v>
      </c>
      <c r="H66" s="8" t="n">
        <v>7649</v>
      </c>
      <c r="I66" s="7">
        <f>D66+E66+F66+G66</f>
        <v/>
      </c>
    </row>
    <row r="67" ht="15.75" customHeight="1">
      <c r="A67" s="1" t="inlineStr">
        <is>
          <t>2019/20</t>
        </is>
      </c>
      <c r="B67" s="6" t="n">
        <v>43922</v>
      </c>
      <c r="C67" s="6" t="inlineStr">
        <is>
          <t>Apr</t>
        </is>
      </c>
      <c r="D67" s="7" t="n">
        <v>5052.053</v>
      </c>
      <c r="E67" s="8" t="n">
        <v>6</v>
      </c>
      <c r="F67" s="8" t="n">
        <v>4205</v>
      </c>
      <c r="G67" s="8" t="n">
        <v>3090</v>
      </c>
      <c r="H67" s="8" t="n">
        <v>7301</v>
      </c>
      <c r="I67" s="7">
        <f>D67+E67+F67+G67</f>
        <v/>
      </c>
    </row>
    <row r="68" ht="15.75" customHeight="1">
      <c r="A68" s="1" t="inlineStr">
        <is>
          <t>2019/20</t>
        </is>
      </c>
      <c r="B68" s="6" t="n">
        <v>43952</v>
      </c>
      <c r="C68" s="6" t="inlineStr">
        <is>
          <t>May</t>
        </is>
      </c>
      <c r="D68" s="7" t="n">
        <v>5652.065</v>
      </c>
      <c r="E68" s="8" t="n">
        <v>25</v>
      </c>
      <c r="F68" s="8" t="n">
        <v>4086</v>
      </c>
      <c r="G68" s="8" t="n">
        <v>2379</v>
      </c>
      <c r="H68" s="8" t="n">
        <v>6490</v>
      </c>
      <c r="I68" s="7">
        <f>D68+E68+F68+G68</f>
        <v/>
      </c>
    </row>
    <row r="69" ht="15.75" customHeight="1">
      <c r="A69" s="1" t="inlineStr">
        <is>
          <t>2019/20</t>
        </is>
      </c>
      <c r="B69" s="6" t="n">
        <v>43983</v>
      </c>
      <c r="C69" s="6" t="inlineStr">
        <is>
          <t>Jun</t>
        </is>
      </c>
      <c r="D69" s="7" t="n">
        <v>5062.668</v>
      </c>
      <c r="E69" s="8" t="n">
        <v>312</v>
      </c>
      <c r="F69" s="8" t="n">
        <v>4579</v>
      </c>
      <c r="G69" s="8" t="n">
        <v>1547</v>
      </c>
      <c r="H69" s="8" t="n">
        <v>6438</v>
      </c>
      <c r="I69" s="7">
        <f>D69+E69+F69+G69</f>
        <v/>
      </c>
    </row>
    <row r="70" ht="15.75" customHeight="1">
      <c r="A70" s="1" t="inlineStr">
        <is>
          <t>2019/20</t>
        </is>
      </c>
      <c r="B70" s="6" t="n">
        <v>44013</v>
      </c>
      <c r="C70" s="6" t="inlineStr">
        <is>
          <t>Jul</t>
        </is>
      </c>
      <c r="D70" s="7" t="n">
        <v>4425.718</v>
      </c>
      <c r="E70" s="8" t="n">
        <v>3978</v>
      </c>
      <c r="F70" s="8" t="n">
        <v>4321</v>
      </c>
      <c r="G70" s="8" t="n">
        <v>425</v>
      </c>
      <c r="H70" s="8" t="n">
        <v>8724</v>
      </c>
      <c r="I70" s="7">
        <f>D70+E70+F70+G70</f>
        <v/>
      </c>
    </row>
    <row r="71" ht="15.75" customHeight="1">
      <c r="A71" s="1" t="inlineStr">
        <is>
          <t>2019/20</t>
        </is>
      </c>
      <c r="B71" s="6" t="n">
        <v>44044</v>
      </c>
      <c r="C71" s="6" t="inlineStr">
        <is>
          <t>Aug</t>
        </is>
      </c>
      <c r="D71" s="7" t="n">
        <v>4488.606</v>
      </c>
      <c r="E71" s="8" t="n">
        <v>6243</v>
      </c>
      <c r="F71" s="8" t="n">
        <v>4586</v>
      </c>
      <c r="G71" s="8" t="n">
        <v>179</v>
      </c>
      <c r="H71" s="8" t="n">
        <v>11008</v>
      </c>
      <c r="I71" s="7">
        <f>D71+E71+F71+G71</f>
        <v/>
      </c>
    </row>
    <row r="72" ht="15.75" customHeight="1">
      <c r="A72" s="1" t="inlineStr">
        <is>
          <t>2019/20</t>
        </is>
      </c>
      <c r="B72" s="6" t="n">
        <v>44075</v>
      </c>
      <c r="C72" s="6" t="inlineStr">
        <is>
          <t>Sep</t>
        </is>
      </c>
      <c r="D72" s="7" t="n">
        <v>3912.242</v>
      </c>
      <c r="E72" s="8" t="n">
        <v>6362</v>
      </c>
      <c r="F72" s="8" t="n">
        <v>3029</v>
      </c>
      <c r="G72" s="8" t="n">
        <v>29</v>
      </c>
      <c r="H72" s="8" t="n">
        <v>9420</v>
      </c>
      <c r="I72" s="7">
        <f>D72+E72+F72+G72</f>
        <v/>
      </c>
    </row>
    <row r="73" ht="15.75" customHeight="1">
      <c r="A73" s="1" t="inlineStr">
        <is>
          <t>2020/21</t>
        </is>
      </c>
      <c r="B73" s="6" t="n">
        <v>44105</v>
      </c>
      <c r="C73" s="6" t="inlineStr">
        <is>
          <t>Oct</t>
        </is>
      </c>
      <c r="D73" s="7" t="n">
        <v>3680.794</v>
      </c>
      <c r="E73" s="8" t="n">
        <v>5001</v>
      </c>
      <c r="F73" s="8" t="n">
        <v>2542</v>
      </c>
      <c r="G73" s="8" t="n">
        <v>1842</v>
      </c>
      <c r="H73" s="8" t="n">
        <v>9385</v>
      </c>
      <c r="I73" s="7">
        <f>D73+E73+F73+G73</f>
        <v/>
      </c>
    </row>
    <row r="74" ht="15.75" customHeight="1">
      <c r="A74" s="1" t="inlineStr">
        <is>
          <t>2020/21</t>
        </is>
      </c>
      <c r="B74" s="6" t="n">
        <v>44136</v>
      </c>
      <c r="C74" s="6" t="inlineStr">
        <is>
          <t>Nov</t>
        </is>
      </c>
      <c r="D74" s="7" t="n">
        <v>3794.491</v>
      </c>
      <c r="E74" s="8" t="n">
        <v>4729</v>
      </c>
      <c r="F74" s="8" t="n">
        <v>1520</v>
      </c>
      <c r="G74" s="8" t="n">
        <v>3106</v>
      </c>
      <c r="H74" s="8" t="n">
        <v>9355</v>
      </c>
      <c r="I74" s="7">
        <f>D74+E74+F74+G74</f>
        <v/>
      </c>
    </row>
    <row r="75" ht="15.75" customHeight="1">
      <c r="A75" s="1" t="inlineStr">
        <is>
          <t>2020/21</t>
        </is>
      </c>
      <c r="B75" s="6" t="n">
        <v>44166</v>
      </c>
      <c r="C75" s="6" t="inlineStr">
        <is>
          <t>Dec</t>
        </is>
      </c>
      <c r="D75" s="7" t="n">
        <v>4754.341</v>
      </c>
      <c r="E75" s="8" t="n">
        <v>4850</v>
      </c>
      <c r="F75" s="8" t="n">
        <v>986</v>
      </c>
      <c r="G75" s="8" t="n">
        <v>3824</v>
      </c>
      <c r="H75" s="8" t="n">
        <v>9660</v>
      </c>
      <c r="I75" s="7">
        <f>D75+E75+F75+G75</f>
        <v/>
      </c>
    </row>
    <row r="76" ht="15.75" customHeight="1">
      <c r="A76" s="1" t="inlineStr">
        <is>
          <t>2020/21</t>
        </is>
      </c>
      <c r="B76" s="6" t="n">
        <v>44197</v>
      </c>
      <c r="C76" s="6" t="inlineStr">
        <is>
          <t>Jan</t>
        </is>
      </c>
      <c r="D76" s="7" t="n">
        <v>5872.625</v>
      </c>
      <c r="E76" s="8" t="n">
        <v>2357</v>
      </c>
      <c r="F76" s="8" t="n">
        <v>1682</v>
      </c>
      <c r="G76" s="8" t="n">
        <v>1995</v>
      </c>
      <c r="H76" s="8" t="n">
        <v>6034</v>
      </c>
      <c r="I76" s="7">
        <f>D76+E76+F76+G76</f>
        <v/>
      </c>
    </row>
    <row r="77" ht="15.75" customHeight="1">
      <c r="A77" s="1" t="inlineStr">
        <is>
          <t>2020/21</t>
        </is>
      </c>
      <c r="B77" s="6" t="n">
        <v>44228</v>
      </c>
      <c r="C77" s="6" t="inlineStr">
        <is>
          <t>Feb</t>
        </is>
      </c>
      <c r="D77" s="7" t="n">
        <v>6471.502</v>
      </c>
      <c r="E77" s="8" t="n">
        <v>775</v>
      </c>
      <c r="F77" s="8" t="n">
        <v>1074</v>
      </c>
      <c r="G77" s="8" t="n">
        <v>2474</v>
      </c>
      <c r="H77" s="8" t="n">
        <v>4323</v>
      </c>
      <c r="I77" s="7">
        <f>D77+E77+F77+G77</f>
        <v/>
      </c>
    </row>
    <row r="78" ht="15.75" customHeight="1">
      <c r="A78" s="1" t="inlineStr">
        <is>
          <t>2020/21</t>
        </is>
      </c>
      <c r="B78" s="6" t="n">
        <v>44256</v>
      </c>
      <c r="C78" s="6" t="inlineStr">
        <is>
          <t>Mar</t>
        </is>
      </c>
      <c r="D78" s="7" t="n">
        <v>9308.308999999999</v>
      </c>
      <c r="E78" s="8" t="n">
        <v>289</v>
      </c>
      <c r="F78" s="8" t="n">
        <v>2912</v>
      </c>
      <c r="G78" s="8" t="n">
        <v>2618</v>
      </c>
      <c r="H78" s="8" t="n">
        <v>5819</v>
      </c>
      <c r="I78" s="7">
        <f>D78+E78+F78+G78</f>
        <v/>
      </c>
    </row>
    <row r="79" ht="15.75" customHeight="1">
      <c r="A79" s="1" t="inlineStr">
        <is>
          <t>2020/21</t>
        </is>
      </c>
      <c r="B79" s="6" t="n">
        <v>44287</v>
      </c>
      <c r="C79" s="6" t="inlineStr">
        <is>
          <t>Apr</t>
        </is>
      </c>
      <c r="D79" s="7" t="n">
        <v>8330.264999999999</v>
      </c>
      <c r="E79" s="8" t="n">
        <v>129</v>
      </c>
      <c r="F79" s="8" t="n">
        <v>4251</v>
      </c>
      <c r="G79" s="8" t="n">
        <v>2627</v>
      </c>
      <c r="H79" s="8" t="n">
        <v>7007</v>
      </c>
      <c r="I79" s="7">
        <f>D79+E79+F79+G79</f>
        <v/>
      </c>
    </row>
    <row r="80" ht="15.75" customHeight="1">
      <c r="A80" s="1" t="inlineStr">
        <is>
          <t>2020/21</t>
        </is>
      </c>
      <c r="B80" s="6" t="n">
        <v>44317</v>
      </c>
      <c r="C80" s="6" t="inlineStr">
        <is>
          <t>May</t>
        </is>
      </c>
      <c r="D80" s="7" t="n">
        <v>8478.663</v>
      </c>
      <c r="E80" s="8" t="n">
        <v>14</v>
      </c>
      <c r="F80" s="8" t="n">
        <v>3432</v>
      </c>
      <c r="G80" s="8" t="n">
        <v>2245</v>
      </c>
      <c r="H80" s="8" t="n">
        <v>5691</v>
      </c>
      <c r="I80" s="7">
        <f>D80+E80+F80+G80</f>
        <v/>
      </c>
    </row>
    <row r="81" ht="15.75" customHeight="1">
      <c r="A81" s="1" t="inlineStr">
        <is>
          <t>2020/21</t>
        </is>
      </c>
      <c r="B81" s="6" t="n">
        <v>44348</v>
      </c>
      <c r="C81" s="6" t="inlineStr">
        <is>
          <t>Jun</t>
        </is>
      </c>
      <c r="D81" s="7" t="n">
        <v>6336.049</v>
      </c>
      <c r="E81" s="8" t="n">
        <v>91</v>
      </c>
      <c r="F81" s="8" t="n">
        <v>4171</v>
      </c>
      <c r="G81" s="8" t="n">
        <v>1698</v>
      </c>
      <c r="H81" s="8" t="n">
        <v>5960</v>
      </c>
      <c r="I81" s="7">
        <f>D81+E81+F81+G81</f>
        <v/>
      </c>
    </row>
    <row r="82" ht="15.75" customHeight="1">
      <c r="A82" s="1" t="inlineStr">
        <is>
          <t>2020/21</t>
        </is>
      </c>
      <c r="B82" s="6" t="n">
        <v>44378</v>
      </c>
      <c r="C82" s="6" t="inlineStr">
        <is>
          <t>Jul</t>
        </is>
      </c>
      <c r="D82" s="7" t="n">
        <v>5475.876</v>
      </c>
      <c r="E82" s="8" t="n">
        <v>1990</v>
      </c>
      <c r="F82" s="8" t="n">
        <v>4927</v>
      </c>
      <c r="G82" s="8" t="n">
        <v>961</v>
      </c>
      <c r="H82" s="8" t="n">
        <v>7878</v>
      </c>
      <c r="I82" s="7">
        <f>D82+E82+F82+G82</f>
        <v/>
      </c>
    </row>
    <row r="83" ht="15.75" customHeight="1">
      <c r="A83" s="1" t="inlineStr">
        <is>
          <t>2020/21</t>
        </is>
      </c>
      <c r="B83" s="6" t="n">
        <v>44409</v>
      </c>
      <c r="C83" s="6" t="inlineStr">
        <is>
          <t>Aug</t>
        </is>
      </c>
      <c r="D83" s="7" t="n">
        <v>3293.279</v>
      </c>
      <c r="E83" s="8" t="n">
        <v>4334</v>
      </c>
      <c r="F83" s="8" t="n">
        <v>4689</v>
      </c>
      <c r="G83" s="8" t="n">
        <v>302</v>
      </c>
      <c r="H83" s="8" t="n">
        <v>9325</v>
      </c>
      <c r="I83" s="7">
        <f>D83+E83+F83+G83</f>
        <v/>
      </c>
    </row>
    <row r="84" ht="15.75" customHeight="1">
      <c r="A84" s="1" t="inlineStr">
        <is>
          <t>2020/21</t>
        </is>
      </c>
      <c r="B84" s="6" t="n">
        <v>44440</v>
      </c>
      <c r="C84" s="6" t="inlineStr">
        <is>
          <t>Sep</t>
        </is>
      </c>
      <c r="D84" s="7" t="n">
        <v>2429.095</v>
      </c>
      <c r="E84" s="8" t="n">
        <v>2849</v>
      </c>
      <c r="F84" s="8" t="n">
        <v>4350</v>
      </c>
      <c r="G84" s="8" t="n">
        <v>165</v>
      </c>
      <c r="H84" s="8" t="n">
        <v>7364</v>
      </c>
      <c r="I84" s="7">
        <f>D84+E84+F84+G84</f>
        <v/>
      </c>
    </row>
    <row r="85" ht="15.75" customHeight="1">
      <c r="A85" s="1" t="inlineStr">
        <is>
          <t>2021/22</t>
        </is>
      </c>
      <c r="B85" s="6" t="n">
        <v>44470</v>
      </c>
      <c r="C85" s="6" t="inlineStr">
        <is>
          <t>Oct</t>
        </is>
      </c>
      <c r="D85" s="7" t="n">
        <v>4028.327</v>
      </c>
      <c r="E85" s="8" t="n">
        <v>1798</v>
      </c>
      <c r="F85" s="8" t="n">
        <v>3793</v>
      </c>
      <c r="G85" s="8" t="n">
        <v>895</v>
      </c>
      <c r="H85" s="8" t="n">
        <v>6486</v>
      </c>
      <c r="I85" s="7">
        <f>D85+E85+F85+G85</f>
        <v/>
      </c>
    </row>
    <row r="86" ht="15.75" customHeight="1">
      <c r="A86" s="1" t="inlineStr">
        <is>
          <t>2021/22</t>
        </is>
      </c>
      <c r="B86" s="6" t="n">
        <v>44501</v>
      </c>
      <c r="C86" s="6" t="inlineStr">
        <is>
          <t>Nov</t>
        </is>
      </c>
      <c r="D86" s="7" t="n">
        <v>4464.897</v>
      </c>
      <c r="E86" s="8" t="n">
        <v>2384</v>
      </c>
      <c r="F86" s="8" t="n">
        <v>2477</v>
      </c>
      <c r="G86" s="8" t="n">
        <v>3792</v>
      </c>
      <c r="H86" s="8" t="n">
        <v>8653</v>
      </c>
      <c r="I86" s="7">
        <f>D86+E86+F86+G86</f>
        <v/>
      </c>
    </row>
    <row r="87" ht="15.75" customHeight="1">
      <c r="A87" s="1" t="inlineStr">
        <is>
          <t>2021/22</t>
        </is>
      </c>
      <c r="B87" s="6" t="n">
        <v>44531</v>
      </c>
      <c r="C87" s="6" t="inlineStr">
        <is>
          <t>Dec</t>
        </is>
      </c>
      <c r="D87" s="7" t="n">
        <v>4708.47</v>
      </c>
      <c r="E87" s="8" t="n">
        <v>3440</v>
      </c>
      <c r="F87" s="8" t="n">
        <v>2333</v>
      </c>
      <c r="G87" s="8" t="n">
        <v>4896</v>
      </c>
      <c r="H87" s="8" t="n">
        <v>10669</v>
      </c>
      <c r="I87" s="7">
        <f>D87+E87+F87+G87</f>
        <v/>
      </c>
    </row>
    <row r="88" ht="15.75" customHeight="1">
      <c r="A88" s="1" t="inlineStr">
        <is>
          <t>2021/22</t>
        </is>
      </c>
      <c r="B88" s="6" t="n">
        <v>44562</v>
      </c>
      <c r="C88" s="6" t="inlineStr">
        <is>
          <t>Jan</t>
        </is>
      </c>
      <c r="D88" s="7" t="n">
        <v>5757.13</v>
      </c>
      <c r="E88" s="8" t="n">
        <v>2731</v>
      </c>
      <c r="F88" s="8" t="n">
        <v>1849</v>
      </c>
      <c r="G88" s="8" t="n">
        <v>4500</v>
      </c>
      <c r="H88" s="8" t="n">
        <v>9080</v>
      </c>
      <c r="I88" s="7">
        <f>D88+E88+F88+G88</f>
        <v/>
      </c>
    </row>
    <row r="89" ht="15.75" customHeight="1">
      <c r="A89" s="1" t="inlineStr">
        <is>
          <t>2021/22</t>
        </is>
      </c>
      <c r="B89" s="6" t="n">
        <v>44593</v>
      </c>
      <c r="C89" s="6" t="inlineStr">
        <is>
          <t>Feb</t>
        </is>
      </c>
      <c r="D89" s="7" t="n">
        <v>6381.303</v>
      </c>
      <c r="E89" s="8" t="n">
        <v>767</v>
      </c>
      <c r="F89" s="8" t="n">
        <v>1747</v>
      </c>
      <c r="G89" s="8" t="n">
        <v>3803</v>
      </c>
      <c r="H89" s="8" t="n">
        <v>6317</v>
      </c>
      <c r="I89" s="7">
        <f>D89+E89+F89+G89</f>
        <v/>
      </c>
    </row>
    <row r="90" ht="15.75" customHeight="1">
      <c r="A90" s="1" t="inlineStr">
        <is>
          <t>2021/22</t>
        </is>
      </c>
      <c r="B90" s="6" t="n">
        <v>44621</v>
      </c>
      <c r="C90" s="6" t="inlineStr">
        <is>
          <t>Mar</t>
        </is>
      </c>
      <c r="D90" s="7" t="n">
        <v>7458.367</v>
      </c>
      <c r="E90" s="8" t="n">
        <v>14</v>
      </c>
      <c r="F90" s="8" t="n">
        <v>3206</v>
      </c>
      <c r="G90" s="8" t="n">
        <v>1110</v>
      </c>
      <c r="H90" s="8" t="n">
        <v>4330</v>
      </c>
      <c r="I90" s="7">
        <f>D90+E90+F90+G90</f>
        <v/>
      </c>
    </row>
    <row r="91" ht="15.75" customHeight="1">
      <c r="A91" s="1" t="inlineStr">
        <is>
          <t>2021/22</t>
        </is>
      </c>
      <c r="B91" s="6" t="n">
        <v>44652</v>
      </c>
      <c r="C91" s="6" t="inlineStr">
        <is>
          <t>Apr</t>
        </is>
      </c>
      <c r="D91" s="7" t="n">
        <v>6992.557</v>
      </c>
      <c r="E91" s="8" t="n">
        <v>698</v>
      </c>
      <c r="F91" s="8" t="n">
        <v>4162</v>
      </c>
      <c r="G91" s="8" t="n">
        <v>768</v>
      </c>
      <c r="H91" s="8" t="n">
        <v>5628</v>
      </c>
      <c r="I91" s="7">
        <f>D91+E91+F91+G91</f>
        <v/>
      </c>
    </row>
    <row r="92" ht="15.75" customHeight="1">
      <c r="A92" s="1" t="inlineStr">
        <is>
          <t>2021/22</t>
        </is>
      </c>
      <c r="B92" s="6" t="n">
        <v>44682</v>
      </c>
      <c r="C92" s="6" t="inlineStr">
        <is>
          <t>May</t>
        </is>
      </c>
      <c r="D92" s="7" t="n">
        <v>7214.74</v>
      </c>
      <c r="E92" s="8" t="n">
        <v>1087</v>
      </c>
      <c r="F92" s="8" t="n">
        <v>3866</v>
      </c>
      <c r="G92" s="8" t="n">
        <v>1139</v>
      </c>
      <c r="H92" s="8" t="n">
        <v>6092</v>
      </c>
      <c r="I92" s="7">
        <f>D92+E92+F92+G92</f>
        <v/>
      </c>
    </row>
    <row r="93" ht="15.75" customHeight="1">
      <c r="A93" s="1" t="inlineStr">
        <is>
          <t>2021/22</t>
        </is>
      </c>
      <c r="B93" s="6" t="n">
        <v>44713</v>
      </c>
      <c r="C93" s="6" t="inlineStr">
        <is>
          <t>Jun</t>
        </is>
      </c>
      <c r="D93" s="7" t="n">
        <v>5488.55</v>
      </c>
      <c r="E93" s="8" t="n">
        <v>991</v>
      </c>
      <c r="F93" s="8" t="n">
        <v>3788</v>
      </c>
      <c r="G93" s="8" t="n">
        <v>1212</v>
      </c>
      <c r="H93" s="8" t="n">
        <v>5991</v>
      </c>
      <c r="I93" s="7">
        <f>D93+E93+F93+G93</f>
        <v/>
      </c>
    </row>
    <row r="94" ht="15.75" customHeight="1">
      <c r="A94" s="1" t="inlineStr">
        <is>
          <t>2021/22</t>
        </is>
      </c>
      <c r="B94" s="6" t="n">
        <v>44743</v>
      </c>
      <c r="C94" s="6" t="inlineStr">
        <is>
          <t>Jul</t>
        </is>
      </c>
      <c r="D94" s="7" t="n">
        <v>4477.74</v>
      </c>
      <c r="E94" s="8" t="n">
        <v>4118</v>
      </c>
      <c r="F94" s="8" t="n">
        <v>4963</v>
      </c>
      <c r="G94" s="8" t="n">
        <v>1165</v>
      </c>
      <c r="H94" s="8" t="n">
        <v>10246</v>
      </c>
      <c r="I94" s="7">
        <f>D94+E94+F94+G94</f>
        <v/>
      </c>
    </row>
    <row r="95" ht="15.75" customHeight="1">
      <c r="A95" s="1" t="inlineStr">
        <is>
          <t>2021/22</t>
        </is>
      </c>
      <c r="B95" s="6" t="n">
        <v>44774</v>
      </c>
      <c r="C95" s="6" t="inlineStr">
        <is>
          <t>Aug</t>
        </is>
      </c>
      <c r="D95" s="7" t="n">
        <v>3325.552</v>
      </c>
      <c r="E95" s="8" t="n">
        <v>7443</v>
      </c>
      <c r="F95" s="8" t="n">
        <v>3825</v>
      </c>
      <c r="G95" s="8" t="n">
        <v>1532</v>
      </c>
      <c r="H95" s="8" t="n">
        <v>12800</v>
      </c>
      <c r="I95" s="7">
        <f>D95+E95+F95+G95</f>
        <v/>
      </c>
    </row>
    <row r="96" ht="15.75" customHeight="1">
      <c r="A96" s="1" t="inlineStr">
        <is>
          <t>2021/22</t>
        </is>
      </c>
      <c r="B96" s="6" t="n">
        <v>44805</v>
      </c>
      <c r="C96" s="6" t="inlineStr">
        <is>
          <t>Sep</t>
        </is>
      </c>
      <c r="D96" s="7" t="n">
        <v>2529.734</v>
      </c>
      <c r="E96" s="8" t="n">
        <v>6419</v>
      </c>
      <c r="F96" s="8" t="n">
        <v>2836</v>
      </c>
      <c r="G96" s="8" t="n">
        <v>2149</v>
      </c>
      <c r="H96" s="8" t="n">
        <v>11404</v>
      </c>
      <c r="I96" s="7">
        <f>D96+E96+F96+G96</f>
        <v/>
      </c>
    </row>
    <row r="97" ht="15.75" customHeight="1">
      <c r="A97" s="1" t="inlineStr">
        <is>
          <t>2022/23</t>
        </is>
      </c>
      <c r="B97" s="6" t="n">
        <v>44835</v>
      </c>
      <c r="C97" s="6" t="inlineStr">
        <is>
          <t>Oct</t>
        </is>
      </c>
      <c r="D97" s="7" t="n">
        <v>2181.837</v>
      </c>
      <c r="E97" s="8" t="n">
        <v>6781</v>
      </c>
      <c r="F97" s="8" t="n">
        <v>2117</v>
      </c>
      <c r="G97" s="8" t="n">
        <v>2205</v>
      </c>
      <c r="H97" s="8" t="n">
        <v>11103</v>
      </c>
      <c r="I97" s="7">
        <f>D97+E97+F97+G97</f>
        <v/>
      </c>
    </row>
    <row r="98" ht="15.75" customHeight="1">
      <c r="A98" s="1" t="inlineStr">
        <is>
          <t>2022/23</t>
        </is>
      </c>
      <c r="B98" s="6" t="n">
        <v>44866</v>
      </c>
      <c r="C98" s="6" t="inlineStr">
        <is>
          <t>Nov</t>
        </is>
      </c>
      <c r="D98" s="7" t="n">
        <v>2449.766</v>
      </c>
      <c r="E98" s="8" t="n">
        <v>5887</v>
      </c>
      <c r="F98" s="8" t="n">
        <v>1846</v>
      </c>
      <c r="G98" s="8" t="n">
        <v>2509</v>
      </c>
      <c r="H98" s="8" t="n">
        <v>10242</v>
      </c>
      <c r="I98" s="7">
        <f>D98+E98+F98+G98</f>
        <v/>
      </c>
    </row>
    <row r="99" ht="15.75" customHeight="1">
      <c r="A99" s="1" t="inlineStr">
        <is>
          <t>2022/23</t>
        </is>
      </c>
      <c r="B99" s="6" t="n">
        <v>44896</v>
      </c>
      <c r="C99" s="6" t="inlineStr">
        <is>
          <t>Dec</t>
        </is>
      </c>
      <c r="D99" s="7" t="n">
        <v>3643.579</v>
      </c>
      <c r="E99" s="8" t="n">
        <v>6309</v>
      </c>
      <c r="F99" s="8" t="n">
        <v>1475</v>
      </c>
      <c r="G99" s="8" t="n">
        <v>3053</v>
      </c>
      <c r="H99" s="8" t="n">
        <v>10837</v>
      </c>
      <c r="I99" s="7">
        <f>D99+E99+F99+G99</f>
        <v/>
      </c>
    </row>
    <row r="100" ht="15.75" customHeight="1">
      <c r="A100" s="1" t="inlineStr">
        <is>
          <t>2022/23</t>
        </is>
      </c>
      <c r="B100" s="6" t="n">
        <v>44927</v>
      </c>
      <c r="C100" s="6" t="inlineStr">
        <is>
          <t>Jan</t>
        </is>
      </c>
      <c r="D100" s="7" t="n">
        <v>3103.03</v>
      </c>
      <c r="E100" s="8" t="n">
        <v>6138</v>
      </c>
      <c r="F100" s="8" t="n">
        <v>1007</v>
      </c>
      <c r="G100" s="8" t="n">
        <v>2671</v>
      </c>
      <c r="H100" s="8" t="n">
        <v>9816</v>
      </c>
      <c r="I100" s="7">
        <f>D100+E100+F100+G100</f>
        <v/>
      </c>
    </row>
    <row r="101" ht="15.75" customHeight="1">
      <c r="A101" s="1" t="inlineStr">
        <is>
          <t>2022/23</t>
        </is>
      </c>
      <c r="B101" s="6" t="n">
        <v>44958</v>
      </c>
      <c r="C101" s="6" t="inlineStr">
        <is>
          <t>Feb</t>
        </is>
      </c>
      <c r="D101" s="7" t="n">
        <v>3370.429</v>
      </c>
      <c r="E101" s="8" t="n">
        <v>2272</v>
      </c>
      <c r="F101" s="8" t="n">
        <v>1592</v>
      </c>
      <c r="G101" s="8" t="n">
        <v>3319</v>
      </c>
      <c r="H101" s="8" t="n">
        <v>7183</v>
      </c>
      <c r="I101" s="7">
        <f>D101+E101+F101+G101</f>
        <v/>
      </c>
    </row>
    <row r="102" ht="15.75" customHeight="1">
      <c r="A102" s="1" t="inlineStr">
        <is>
          <t>2022/23</t>
        </is>
      </c>
      <c r="B102" s="6" t="n">
        <v>44986</v>
      </c>
      <c r="C102" s="6" t="inlineStr">
        <is>
          <t>Mar</t>
        </is>
      </c>
      <c r="D102" s="7" t="n">
        <v>4878.738</v>
      </c>
      <c r="E102" s="8" t="n">
        <v>1335</v>
      </c>
      <c r="F102" s="8" t="n">
        <v>2137</v>
      </c>
      <c r="G102" s="8" t="n">
        <v>3799</v>
      </c>
      <c r="H102" s="8" t="n">
        <v>7271</v>
      </c>
      <c r="I102" s="7">
        <f>D102+E102+F102+G102</f>
        <v/>
      </c>
    </row>
    <row r="103" ht="15.75" customHeight="1">
      <c r="A103" s="1" t="inlineStr">
        <is>
          <t>2022/23</t>
        </is>
      </c>
      <c r="B103" s="6" t="n">
        <v>45017</v>
      </c>
      <c r="C103" s="6" t="inlineStr">
        <is>
          <t>Apr</t>
        </is>
      </c>
      <c r="D103" s="7" t="n">
        <v>5024.391</v>
      </c>
      <c r="E103" s="8" t="n">
        <v>488</v>
      </c>
      <c r="F103" s="8" t="n">
        <v>1659</v>
      </c>
      <c r="G103" s="8" t="n">
        <v>2319</v>
      </c>
      <c r="H103" s="8" t="n">
        <v>4466</v>
      </c>
      <c r="I103" s="7">
        <f>D103+E103+F103+G103</f>
        <v/>
      </c>
    </row>
    <row r="104" ht="15.75" customHeight="1">
      <c r="A104" s="1" t="inlineStr">
        <is>
          <t>2022/23</t>
        </is>
      </c>
      <c r="B104" s="6" t="n">
        <v>45047</v>
      </c>
      <c r="C104" s="6" t="inlineStr">
        <is>
          <t>May</t>
        </is>
      </c>
      <c r="D104" s="7" t="n">
        <v>6123.495</v>
      </c>
      <c r="E104" s="8" t="n">
        <v>382</v>
      </c>
      <c r="F104" s="8" t="n">
        <v>1762</v>
      </c>
      <c r="G104" s="8" t="n">
        <v>2201</v>
      </c>
      <c r="H104" s="8" t="n">
        <v>4345</v>
      </c>
      <c r="I104" s="7">
        <f>D104+E104+F104+G104</f>
        <v/>
      </c>
    </row>
    <row r="105" ht="15.75" customHeight="1">
      <c r="A105" s="1" t="inlineStr">
        <is>
          <t>2022/23</t>
        </is>
      </c>
      <c r="B105" s="6" t="n">
        <v>45078</v>
      </c>
      <c r="C105" s="6" t="inlineStr">
        <is>
          <t>Jun</t>
        </is>
      </c>
      <c r="D105" s="7" t="n">
        <v>3799.163</v>
      </c>
      <c r="E105" s="8" t="n">
        <v>1033</v>
      </c>
      <c r="F105" s="8" t="n">
        <v>2335</v>
      </c>
      <c r="G105" s="8" t="n">
        <v>2323</v>
      </c>
      <c r="H105" s="8" t="n">
        <v>5691</v>
      </c>
      <c r="I105" s="7">
        <f>D105+E105+F105+G105</f>
        <v/>
      </c>
    </row>
    <row r="106" ht="15.75" customHeight="1">
      <c r="A106" s="1" t="inlineStr">
        <is>
          <t>2022/23</t>
        </is>
      </c>
      <c r="B106" s="6" t="n">
        <v>45108</v>
      </c>
      <c r="C106" s="6" t="inlineStr">
        <is>
          <t>Jul</t>
        </is>
      </c>
      <c r="D106" s="7" t="n">
        <v>2336.501</v>
      </c>
      <c r="E106" s="8" t="n">
        <v>4248</v>
      </c>
      <c r="F106" s="8" t="n">
        <v>3055</v>
      </c>
      <c r="G106" s="8" t="n">
        <v>1153</v>
      </c>
      <c r="H106" s="8" t="n">
        <v>8456</v>
      </c>
      <c r="I106" s="7">
        <f>D106+E106+F106+G106</f>
        <v/>
      </c>
    </row>
    <row r="107" ht="15.75" customHeight="1">
      <c r="A107" s="1" t="inlineStr">
        <is>
          <t>2022/23</t>
        </is>
      </c>
      <c r="B107" s="6" t="n">
        <v>45139</v>
      </c>
      <c r="C107" s="6" t="inlineStr">
        <is>
          <t>Aug</t>
        </is>
      </c>
      <c r="D107" s="7" t="n">
        <v>2667.912</v>
      </c>
      <c r="E107" s="8" t="n">
        <v>9361</v>
      </c>
      <c r="F107" s="8" t="n">
        <v>3917</v>
      </c>
      <c r="G107" s="8" t="n">
        <v>900</v>
      </c>
      <c r="H107" s="8" t="n">
        <v>14178</v>
      </c>
      <c r="I107" s="7">
        <f>D107+E107+F107+G107</f>
        <v/>
      </c>
    </row>
    <row r="108" ht="15.75" customHeight="1">
      <c r="A108" s="1" t="inlineStr">
        <is>
          <t>2022/23</t>
        </is>
      </c>
      <c r="B108" s="6" t="n">
        <v>45170</v>
      </c>
      <c r="C108" s="6" t="inlineStr">
        <is>
          <t>Sep</t>
        </is>
      </c>
      <c r="D108" s="7" t="n">
        <v>3087.926</v>
      </c>
      <c r="E108" s="8" t="n">
        <v>8714</v>
      </c>
      <c r="F108" s="8" t="n">
        <v>2832</v>
      </c>
      <c r="G108" s="8" t="n">
        <v>630</v>
      </c>
      <c r="H108" s="8" t="n">
        <v>12176</v>
      </c>
      <c r="I108" s="7">
        <f>D108+E108+F108+G108</f>
        <v/>
      </c>
    </row>
    <row r="109" ht="15.75" customHeight="1">
      <c r="A109" s="1" t="inlineStr">
        <is>
          <t>2023/24</t>
        </is>
      </c>
      <c r="B109" s="6" t="n">
        <v>45200</v>
      </c>
      <c r="C109" s="6" t="inlineStr">
        <is>
          <t>Oct</t>
        </is>
      </c>
      <c r="D109" s="7" t="n">
        <v>2697.061</v>
      </c>
      <c r="E109" s="8" t="n">
        <v>8456</v>
      </c>
      <c r="F109" s="8" t="n">
        <v>1416</v>
      </c>
      <c r="G109" s="8" t="n">
        <v>1116</v>
      </c>
      <c r="H109" s="8" t="n">
        <v>10988</v>
      </c>
      <c r="I109" s="7">
        <f>D109+E109+F109+G109</f>
        <v/>
      </c>
    </row>
    <row r="110" ht="15.75" customHeight="1">
      <c r="A110" s="1" t="inlineStr">
        <is>
          <t>2023/24</t>
        </is>
      </c>
      <c r="B110" s="6" t="n">
        <v>45231</v>
      </c>
      <c r="C110" s="6" t="inlineStr">
        <is>
          <t>Nov</t>
        </is>
      </c>
      <c r="D110" s="7" t="n">
        <v>3556.844</v>
      </c>
      <c r="E110" s="8" t="n">
        <v>7422</v>
      </c>
      <c r="F110" s="8" t="n">
        <v>1052</v>
      </c>
      <c r="G110" s="8" t="n">
        <v>2370</v>
      </c>
      <c r="H110" s="8" t="n">
        <v>10844</v>
      </c>
      <c r="I110" s="7">
        <f>D110+E110+F110+G110</f>
        <v/>
      </c>
    </row>
    <row r="111" ht="15.75" customHeight="1">
      <c r="A111" s="1" t="inlineStr">
        <is>
          <t>2023/24</t>
        </is>
      </c>
      <c r="B111" s="6" t="n">
        <v>45261</v>
      </c>
      <c r="C111" s="6" t="inlineStr">
        <is>
          <t>Dec</t>
        </is>
      </c>
      <c r="D111" s="7" t="n">
        <v>4670.273</v>
      </c>
      <c r="E111" s="8" t="n">
        <v>6132</v>
      </c>
      <c r="F111" s="8" t="n">
        <v>1212</v>
      </c>
      <c r="G111" s="8" t="n">
        <v>3445</v>
      </c>
      <c r="H111" s="8" t="n">
        <v>10789</v>
      </c>
      <c r="I111" s="7">
        <f>D111+E111+F111+G111</f>
        <v/>
      </c>
    </row>
    <row r="112" ht="15.75" customHeight="1">
      <c r="A112" s="1" t="inlineStr">
        <is>
          <t>2023/24</t>
        </is>
      </c>
      <c r="B112" s="6" t="n">
        <v>45292</v>
      </c>
      <c r="C112" s="6" t="inlineStr">
        <is>
          <t>Jan</t>
        </is>
      </c>
      <c r="D112" s="9" t="n">
        <v>4133.85</v>
      </c>
      <c r="E112" s="10" t="n">
        <v>4874</v>
      </c>
      <c r="F112" s="10" t="n">
        <v>1928</v>
      </c>
      <c r="G112" s="10" t="n">
        <v>3352</v>
      </c>
      <c r="H112" s="10" t="n">
        <v>10154</v>
      </c>
      <c r="I112" s="7">
        <f>D112+E112+F112+G112</f>
        <v/>
      </c>
    </row>
    <row r="113" ht="15.75" customHeight="1">
      <c r="A113" s="1" t="inlineStr">
        <is>
          <t>2023/24</t>
        </is>
      </c>
      <c r="B113" s="6" t="n">
        <v>45323</v>
      </c>
      <c r="C113" s="6" t="inlineStr">
        <is>
          <t>Feb</t>
        </is>
      </c>
      <c r="D113" s="9" t="n">
        <v>4996.944</v>
      </c>
      <c r="E113" s="10" t="n">
        <v>1720</v>
      </c>
      <c r="F113" s="10" t="n">
        <v>1930</v>
      </c>
      <c r="G113" s="10" t="n">
        <v>3015</v>
      </c>
      <c r="H113" s="10" t="n">
        <v>6665</v>
      </c>
      <c r="I113" s="7">
        <f>D113+E113+F113+G113</f>
        <v/>
      </c>
    </row>
    <row r="114" ht="15.75" customHeight="1">
      <c r="A114" s="1" t="inlineStr">
        <is>
          <t>2023/24</t>
        </is>
      </c>
      <c r="B114" s="6" t="n">
        <v>45352</v>
      </c>
      <c r="C114" s="6" t="inlineStr">
        <is>
          <t>Mar</t>
        </is>
      </c>
      <c r="D114" s="9" t="n">
        <v>5993.012</v>
      </c>
      <c r="E114" s="11" t="n">
        <v>427</v>
      </c>
      <c r="F114" s="11" t="n">
        <v>3815</v>
      </c>
      <c r="G114" s="11" t="n">
        <v>2766</v>
      </c>
      <c r="H114" s="12" t="n">
        <v>7008</v>
      </c>
      <c r="I114" s="7">
        <f>D114+E114+F114+G114</f>
        <v/>
      </c>
    </row>
    <row r="115" ht="15.75" customHeight="1">
      <c r="A115" s="1" t="inlineStr">
        <is>
          <t>2023/24</t>
        </is>
      </c>
      <c r="B115" s="6" t="n">
        <v>45383</v>
      </c>
      <c r="C115" s="6" t="inlineStr">
        <is>
          <t>Apr</t>
        </is>
      </c>
      <c r="D115" s="9" t="n">
        <v>6392.835</v>
      </c>
      <c r="E115" s="13" t="n">
        <v>64</v>
      </c>
      <c r="F115" s="13" t="n">
        <v>4163</v>
      </c>
      <c r="G115" s="13" t="n">
        <v>4134</v>
      </c>
      <c r="H115" s="14" t="n">
        <v>8361</v>
      </c>
      <c r="I115" s="7">
        <f>D115+E115+F115+G115</f>
        <v/>
      </c>
    </row>
    <row r="116" ht="15.75" customHeight="1">
      <c r="A116" s="1" t="inlineStr">
        <is>
          <t>2023/24</t>
        </is>
      </c>
      <c r="B116" s="6" t="n">
        <v>45413</v>
      </c>
      <c r="C116" s="6" t="inlineStr">
        <is>
          <t>May</t>
        </is>
      </c>
      <c r="D116" s="9" t="n">
        <v>5862.91</v>
      </c>
      <c r="E116" s="13" t="n">
        <v>412</v>
      </c>
      <c r="F116" s="13" t="n">
        <v>3304</v>
      </c>
      <c r="G116" s="13" t="n">
        <v>3677</v>
      </c>
      <c r="H116" s="14" t="n">
        <v>7393</v>
      </c>
      <c r="I116" s="7">
        <f>D116+E116+F116+G116</f>
        <v/>
      </c>
    </row>
    <row r="117" ht="15.75" customHeight="1">
      <c r="A117" s="1" t="inlineStr">
        <is>
          <t>2023/24</t>
        </is>
      </c>
      <c r="B117" s="6" t="n">
        <v>45444</v>
      </c>
      <c r="C117" s="6" t="inlineStr">
        <is>
          <t>Jun</t>
        </is>
      </c>
      <c r="D117" s="9" t="n">
        <v>5360.853</v>
      </c>
      <c r="E117" s="13" t="n">
        <v>850</v>
      </c>
      <c r="F117" s="13" t="n">
        <v>2339</v>
      </c>
      <c r="G117" s="13" t="n">
        <v>2806</v>
      </c>
      <c r="H117" s="14" t="n">
        <v>5995</v>
      </c>
      <c r="I117" s="7">
        <f>D117+E117+F117+G117</f>
        <v/>
      </c>
    </row>
    <row r="118" ht="15.75" customHeight="1">
      <c r="A118" s="1" t="inlineStr">
        <is>
          <t>2023/24</t>
        </is>
      </c>
      <c r="B118" s="6" t="n">
        <v>45474</v>
      </c>
      <c r="C118" s="6" t="inlineStr">
        <is>
          <t>Jul</t>
        </is>
      </c>
      <c r="D118" s="9" t="n">
        <v>5328.362</v>
      </c>
      <c r="E118" s="13" t="n">
        <v>3552</v>
      </c>
      <c r="F118" s="13" t="n">
        <v>4015</v>
      </c>
      <c r="G118" s="13" t="n">
        <v>1559</v>
      </c>
      <c r="H118" s="14" t="n">
        <v>9126</v>
      </c>
      <c r="I118" s="7">
        <f>D118+E118+F118+G118</f>
        <v/>
      </c>
    </row>
    <row r="119" ht="15.75" customHeight="1">
      <c r="A119" s="1" t="inlineStr">
        <is>
          <t>2023/24</t>
        </is>
      </c>
      <c r="B119" s="6" t="n">
        <v>45505</v>
      </c>
      <c r="C119" s="6" t="inlineStr">
        <is>
          <t>Aug</t>
        </is>
      </c>
      <c r="D119" s="9" t="n">
        <v>5099.985</v>
      </c>
      <c r="E119" s="13" t="n">
        <v>6062</v>
      </c>
      <c r="F119" s="13" t="n">
        <v>3001</v>
      </c>
      <c r="G119" s="13" t="n">
        <v>774</v>
      </c>
      <c r="H119" s="14" t="n">
        <v>9837</v>
      </c>
      <c r="I119" s="7">
        <f>D119+E119+F119+G119</f>
        <v/>
      </c>
    </row>
    <row r="120" ht="15.75" customHeight="1">
      <c r="A120" s="1" t="inlineStr">
        <is>
          <t>2023/24</t>
        </is>
      </c>
      <c r="B120" s="6" t="n">
        <v>45536</v>
      </c>
      <c r="C120" s="6" t="inlineStr">
        <is>
          <t>Sep</t>
        </is>
      </c>
      <c r="D120" s="9" t="n">
        <v>4336.131</v>
      </c>
      <c r="E120" s="13" t="n">
        <v>6418</v>
      </c>
      <c r="F120" s="13" t="n">
        <v>3031</v>
      </c>
      <c r="G120" s="13" t="n">
        <v>428</v>
      </c>
      <c r="H120" s="13" t="n">
        <v>9877</v>
      </c>
      <c r="I120" s="7">
        <f>D120+E120+F120+G120</f>
        <v/>
      </c>
    </row>
    <row r="121" ht="15.75" customHeight="1">
      <c r="A121" s="1" t="inlineStr">
        <is>
          <t>2024/25</t>
        </is>
      </c>
      <c r="B121" s="6" t="n">
        <v>45566</v>
      </c>
      <c r="C121" s="6" t="inlineStr">
        <is>
          <t>Oct</t>
        </is>
      </c>
      <c r="D121" s="9" t="n">
        <v>4017.759</v>
      </c>
      <c r="E121" s="13" t="n">
        <v>6392</v>
      </c>
      <c r="F121" s="13" t="n">
        <v>2713</v>
      </c>
      <c r="G121" s="13" t="n">
        <v>1912</v>
      </c>
      <c r="H121" s="13" t="n">
        <v>11017</v>
      </c>
      <c r="I121" s="7">
        <f>D121+E121+F121+G121</f>
        <v/>
      </c>
    </row>
    <row r="122" ht="15.75" customHeight="1">
      <c r="A122" s="1" t="inlineStr">
        <is>
          <t>2024/25</t>
        </is>
      </c>
      <c r="B122" s="6" t="n">
        <v>45597</v>
      </c>
      <c r="C122" s="6" t="inlineStr">
        <is>
          <t>Nov</t>
        </is>
      </c>
      <c r="D122" s="9" t="n">
        <v>4768.005</v>
      </c>
      <c r="E122" s="13" t="n">
        <v>4723</v>
      </c>
      <c r="F122" s="13" t="n">
        <v>2323</v>
      </c>
      <c r="G122" s="13" t="n">
        <v>2554</v>
      </c>
      <c r="H122" s="13" t="n">
        <v>9600</v>
      </c>
      <c r="I122" s="7">
        <f>D122+E122+F122+G122</f>
        <v/>
      </c>
    </row>
    <row r="123" ht="15.75" customHeight="1">
      <c r="A123" s="1" t="inlineStr">
        <is>
          <t>2024/25</t>
        </is>
      </c>
      <c r="B123" s="6" t="n">
        <v>45627</v>
      </c>
      <c r="C123" s="6" t="inlineStr">
        <is>
          <t>Dec</t>
        </is>
      </c>
      <c r="D123" s="9" t="n">
        <v>5429.62</v>
      </c>
      <c r="E123" s="13" t="n">
        <v>4298</v>
      </c>
      <c r="F123" s="13" t="n">
        <v>2429</v>
      </c>
      <c r="G123" s="13" t="n">
        <v>2610</v>
      </c>
      <c r="H123" s="13" t="n">
        <v>9337</v>
      </c>
      <c r="I123" s="7">
        <f>D123+E123+F123+G123</f>
        <v/>
      </c>
    </row>
    <row r="124" ht="15.75" customHeight="1">
      <c r="A124" s="1" t="inlineStr">
        <is>
          <t>2024/25</t>
        </is>
      </c>
      <c r="B124" s="6" t="n">
        <v>45658</v>
      </c>
      <c r="C124" s="6" t="inlineStr">
        <is>
          <t>Jan</t>
        </is>
      </c>
      <c r="D124" s="9" t="n">
        <v>6162.009</v>
      </c>
      <c r="E124" s="13" t="n">
        <v>3597</v>
      </c>
      <c r="F124" s="13" t="n">
        <v>2645</v>
      </c>
      <c r="G124" s="13" t="n">
        <v>2478</v>
      </c>
      <c r="H124" s="13" t="n">
        <v>8720</v>
      </c>
      <c r="I124" s="7">
        <f>D124+E124+F124+G124</f>
        <v/>
      </c>
    </row>
    <row r="125" ht="15.75" customHeight="1">
      <c r="A125" s="1" t="inlineStr">
        <is>
          <t>2024/25</t>
        </is>
      </c>
      <c r="B125" s="6" t="n">
        <v>45689</v>
      </c>
      <c r="C125" s="6" t="inlineStr">
        <is>
          <t>Feb</t>
        </is>
      </c>
      <c r="D125" s="9" t="n">
        <v>6032.019</v>
      </c>
      <c r="E125" s="13" t="n">
        <v>1439</v>
      </c>
      <c r="F125" s="13" t="n">
        <v>2471</v>
      </c>
      <c r="G125" s="13" t="n">
        <v>2170</v>
      </c>
      <c r="H125" s="13" t="n">
        <v>6080</v>
      </c>
      <c r="I125" s="7">
        <f>D125+E125+F125+G125</f>
        <v/>
      </c>
    </row>
    <row r="126" ht="15.75" customHeight="1">
      <c r="A126" s="1" t="inlineStr">
        <is>
          <t>2024/25</t>
        </is>
      </c>
      <c r="B126" s="6" t="n">
        <v>45717</v>
      </c>
      <c r="C126" s="6" t="inlineStr">
        <is>
          <t>Mar</t>
        </is>
      </c>
      <c r="D126" s="9" t="n">
        <v>7340.852</v>
      </c>
      <c r="E126" s="14" t="n">
        <v>871</v>
      </c>
      <c r="F126" s="14" t="n">
        <v>2999</v>
      </c>
      <c r="G126" s="14" t="n">
        <v>2390</v>
      </c>
      <c r="H126" s="14">
        <f>SUM(E126:G126)</f>
        <v/>
      </c>
      <c r="I126" s="7">
        <f>D126+E126+F126+G126</f>
        <v/>
      </c>
    </row>
    <row r="127" ht="15.75" customHeight="1">
      <c r="A127" s="1" t="inlineStr">
        <is>
          <t>2024/25</t>
        </is>
      </c>
      <c r="B127" s="6" t="n">
        <v>45748</v>
      </c>
      <c r="C127" s="6" t="inlineStr">
        <is>
          <t>Apr</t>
        </is>
      </c>
      <c r="D127" s="9" t="n">
        <v>7786.889</v>
      </c>
      <c r="E127" s="14" t="n">
        <v>177</v>
      </c>
      <c r="F127" s="14" t="n">
        <v>3707</v>
      </c>
      <c r="G127" s="14" t="n">
        <v>1567</v>
      </c>
      <c r="H127" s="14">
        <f>SUM(E127:G127)</f>
        <v/>
      </c>
      <c r="I127" s="7">
        <f>D127+E127+F127+G127</f>
        <v/>
      </c>
    </row>
    <row r="128" ht="15.75" customHeight="1">
      <c r="A128" s="1" t="inlineStr">
        <is>
          <t>2024/25</t>
        </is>
      </c>
      <c r="B128" s="6" t="n">
        <v>45778</v>
      </c>
      <c r="C128" s="6" t="inlineStr">
        <is>
          <t>May</t>
        </is>
      </c>
      <c r="D128" s="9" t="n">
        <v>7288.221</v>
      </c>
      <c r="E128" s="14" t="n">
        <v>37</v>
      </c>
      <c r="F128" s="14" t="n">
        <v>3192</v>
      </c>
      <c r="G128" s="14" t="n">
        <v>2020</v>
      </c>
      <c r="H128" s="14">
        <f>SUM(E128:G128)</f>
        <v/>
      </c>
      <c r="I128" s="7">
        <f>D128+E128+F128+G128</f>
        <v/>
      </c>
    </row>
    <row r="129" ht="15.75" customHeight="1">
      <c r="A129" s="1" t="inlineStr">
        <is>
          <t>2024/25</t>
        </is>
      </c>
      <c r="B129" s="6" t="n">
        <v>45809</v>
      </c>
      <c r="C129" s="6" t="inlineStr">
        <is>
          <t>Jun</t>
        </is>
      </c>
      <c r="D129" s="9" t="n">
        <v>6746.952</v>
      </c>
      <c r="E129" s="14" t="n">
        <v>368</v>
      </c>
      <c r="F129" s="14" t="n">
        <v>3191</v>
      </c>
      <c r="G129" s="14" t="n">
        <v>1386</v>
      </c>
      <c r="H129" s="14">
        <f>SUM(E129:G129)</f>
        <v/>
      </c>
      <c r="I129" s="7">
        <f>D129+E129+F129+G129</f>
        <v/>
      </c>
    </row>
    <row r="130" ht="15.75" customHeight="1">
      <c r="A130" s="1" t="inlineStr">
        <is>
          <t>2024/25</t>
        </is>
      </c>
      <c r="B130" s="6" t="n">
        <v>45839</v>
      </c>
      <c r="C130" s="6" t="inlineStr">
        <is>
          <t>Jul</t>
        </is>
      </c>
      <c r="D130" s="9" t="n">
        <v>6224.422</v>
      </c>
      <c r="E130" s="14" t="n">
        <v>2432</v>
      </c>
      <c r="F130" s="14" t="n">
        <v>3935</v>
      </c>
      <c r="G130" s="14" t="n">
        <v>617</v>
      </c>
      <c r="H130" s="14">
        <f>SUM(E130:G130)</f>
        <v/>
      </c>
      <c r="I130" s="7">
        <f>D130+E130+F130+G130</f>
        <v/>
      </c>
    </row>
    <row r="131" ht="15.75" customHeight="1">
      <c r="A131" s="1" t="inlineStr">
        <is>
          <t>2024/25</t>
        </is>
      </c>
      <c r="B131" s="6" t="n">
        <v>45870</v>
      </c>
      <c r="C131" s="6" t="inlineStr">
        <is>
          <t>Aug</t>
        </is>
      </c>
      <c r="D131" s="14" t="n">
        <v>6397</v>
      </c>
      <c r="E131" s="14" t="n">
        <v>6867</v>
      </c>
      <c r="F131" s="14" t="n">
        <v>2546</v>
      </c>
      <c r="G131" s="14" t="n">
        <v>243</v>
      </c>
      <c r="H131" s="14">
        <f>SUM(E131:G131)</f>
        <v/>
      </c>
      <c r="I131" s="7">
        <f>D131+E131+F131+G131</f>
        <v/>
      </c>
    </row>
    <row r="132" ht="15.75" customHeight="1">
      <c r="A132" s="1" t="inlineStr">
        <is>
          <t>2024/25</t>
        </is>
      </c>
      <c r="B132" s="6" t="n">
        <v>45901</v>
      </c>
      <c r="C132" s="6" t="inlineStr">
        <is>
          <t>Sep</t>
        </is>
      </c>
      <c r="D132" s="14" t="n">
        <v>6978</v>
      </c>
      <c r="E132" s="14" t="n">
        <v>7646</v>
      </c>
      <c r="F132" s="14" t="n">
        <v>1865</v>
      </c>
      <c r="G132" s="14" t="n">
        <v>41</v>
      </c>
      <c r="H132" s="14">
        <f>SUM(E132:G132)</f>
        <v/>
      </c>
      <c r="I132" s="7">
        <f>D132+E132+F132+G132</f>
        <v/>
      </c>
    </row>
    <row r="133" ht="15.75" customHeight="1">
      <c r="A133" s="15" t="inlineStr">
        <is>
          <t>2025/26</t>
        </is>
      </c>
      <c r="B133" s="6" t="n">
        <v>45931</v>
      </c>
      <c r="C133" s="6" t="inlineStr">
        <is>
          <t>Oct</t>
        </is>
      </c>
      <c r="D133" s="14" t="n">
        <v>6800</v>
      </c>
      <c r="E133" s="14" t="n">
        <v>6529</v>
      </c>
      <c r="F133" s="14" t="n">
        <v>1843</v>
      </c>
      <c r="G133" s="14" t="n">
        <v>941</v>
      </c>
      <c r="H133" s="14">
        <f>SUM(E133:G133)</f>
        <v/>
      </c>
      <c r="I133" s="7">
        <f>D133+E133+F133+G133</f>
        <v/>
      </c>
    </row>
    <row r="134" ht="15.75" customHeight="1">
      <c r="A134" s="15" t="inlineStr">
        <is>
          <t>2025/26</t>
        </is>
      </c>
      <c r="B134" s="6" t="n">
        <v>45962</v>
      </c>
      <c r="C134" s="16" t="inlineStr">
        <is>
          <t>Nov</t>
        </is>
      </c>
      <c r="D134" s="14" t="n">
        <v>7305.417</v>
      </c>
      <c r="E134" s="17" t="n">
        <v>5350</v>
      </c>
      <c r="F134" s="17" t="n">
        <v>1584</v>
      </c>
      <c r="G134" s="14" t="n">
        <v>1838</v>
      </c>
      <c r="H134" s="17">
        <f>SUM(E134:G134)</f>
        <v/>
      </c>
      <c r="I134" s="7">
        <f>D134+E134+F134+G134</f>
        <v/>
      </c>
    </row>
    <row r="135" ht="15.75" customHeight="1">
      <c r="A135" s="1" t="inlineStr">
        <is>
          <t>2025/26</t>
        </is>
      </c>
      <c r="B135" s="6" t="n">
        <v>45992</v>
      </c>
      <c r="C135" s="16" t="inlineStr">
        <is>
          <t>Dec</t>
        </is>
      </c>
      <c r="D135" s="9" t="n">
        <v>7099</v>
      </c>
      <c r="E135" s="17" t="n">
        <v>6221</v>
      </c>
      <c r="F135" s="17" t="n">
        <v>1333</v>
      </c>
      <c r="G135" s="18" t="n">
        <v>2247</v>
      </c>
      <c r="H135" s="17">
        <f>SUM(E135:G135)</f>
        <v/>
      </c>
      <c r="I135" s="58">
        <f>D135+E135+F135+G135</f>
        <v/>
      </c>
    </row>
    <row r="136" ht="15.75" customHeight="1">
      <c r="A136" s="1" t="inlineStr">
        <is>
          <t>2025/26</t>
        </is>
      </c>
      <c r="B136" s="6" t="n">
        <v>46023</v>
      </c>
      <c r="C136" s="16" t="inlineStr">
        <is>
          <t>Jan</t>
        </is>
      </c>
      <c r="D136" s="9" t="n">
        <v>6607.7</v>
      </c>
      <c r="E136" s="59" t="n">
        <v>4271</v>
      </c>
      <c r="F136" s="9" t="n">
        <v>1522</v>
      </c>
      <c r="G136" s="57" t="n">
        <v>2811</v>
      </c>
      <c r="H136" s="9">
        <f>SUM(E136:G136)</f>
        <v/>
      </c>
      <c r="I136" s="9">
        <f>D136+E136+F136+G136</f>
        <v/>
      </c>
    </row>
    <row r="137" ht="15.75" customHeight="1">
      <c r="A137" s="1" t="inlineStr">
        <is>
          <t>2025/26</t>
        </is>
      </c>
      <c r="B137" s="6" t="n">
        <v>46054</v>
      </c>
      <c r="C137" s="16" t="inlineStr">
        <is>
          <t>Feb</t>
        </is>
      </c>
      <c r="D137" s="9" t="n">
        <v>6768.145</v>
      </c>
      <c r="E137" s="18" t="n">
        <v>1580</v>
      </c>
      <c r="F137" s="9" t="n">
        <v>1338</v>
      </c>
      <c r="G137" s="18" t="n">
        <v>2753.265</v>
      </c>
      <c r="H137" s="9">
        <f>SUM(E137:G137)</f>
        <v/>
      </c>
      <c r="I137" s="9">
        <f>D137+E137+F137+G137</f>
        <v/>
      </c>
    </row>
    <row r="138" ht="15.75" customHeight="1">
      <c r="A138" s="1" t="inlineStr">
        <is>
          <t>2025/26</t>
        </is>
      </c>
      <c r="B138" s="6" t="n">
        <v>46082</v>
      </c>
      <c r="C138" s="16" t="inlineStr">
        <is>
          <t>Mar</t>
        </is>
      </c>
      <c r="D138" s="9" t="n">
        <v>8031</v>
      </c>
      <c r="E138" s="59" t="n">
        <v>991</v>
      </c>
      <c r="F138" s="18" t="n">
        <v>4777.093451</v>
      </c>
      <c r="G138" s="57" t="n">
        <v>2732</v>
      </c>
      <c r="H138" s="9">
        <f>SUM(E138:G138)</f>
        <v/>
      </c>
      <c r="I138" s="9">
        <f>D138+E138+F138+G138</f>
        <v/>
      </c>
    </row>
    <row r="139" ht="15.75" customHeight="1">
      <c r="A139" s="1" t="inlineStr">
        <is>
          <t>2025/26</t>
        </is>
      </c>
      <c r="B139" s="6" t="n">
        <v>46113</v>
      </c>
      <c r="C139" s="16" t="inlineStr">
        <is>
          <t>Apr</t>
        </is>
      </c>
      <c r="D139" s="66" t="n">
        <v>7286</v>
      </c>
      <c r="E139" s="67" t="n">
        <v>155</v>
      </c>
      <c r="F139" s="67" t="n">
        <v>4322</v>
      </c>
      <c r="G139" s="66" t="n">
        <v>2700</v>
      </c>
      <c r="H139" s="68">
        <f>SUM(E139:G139)</f>
        <v/>
      </c>
      <c r="I139" s="69">
        <f>D139+E139+F139+G139</f>
        <v/>
      </c>
    </row>
    <row r="140" ht="15.75" customHeight="1">
      <c r="A140" s="1" t="inlineStr">
        <is>
          <t>2025/26</t>
        </is>
      </c>
      <c r="B140" s="6" t="n">
        <v>46143</v>
      </c>
      <c r="C140" s="16" t="inlineStr">
        <is>
          <t>May</t>
        </is>
      </c>
      <c r="D140" s="65" t="n">
        <v>7000</v>
      </c>
      <c r="E140" s="65" t="n">
        <v>0</v>
      </c>
      <c r="F140" s="65" t="n">
        <v>4500</v>
      </c>
      <c r="G140" s="65" t="n">
        <v>2500</v>
      </c>
      <c r="H140" s="65">
        <f>SUM(E140:G140)</f>
        <v/>
      </c>
      <c r="I140" s="65">
        <f>D140+E140+F140+G140</f>
        <v/>
      </c>
    </row>
    <row r="141" ht="15.75" customHeight="1">
      <c r="A141" s="1" t="inlineStr">
        <is>
          <t>2025/26</t>
        </is>
      </c>
      <c r="B141" s="6" t="n">
        <v>46174</v>
      </c>
      <c r="C141" s="16" t="inlineStr">
        <is>
          <t>Jun</t>
        </is>
      </c>
      <c r="D141" s="65" t="n">
        <v>6500</v>
      </c>
      <c r="E141" s="65" t="n">
        <v>500</v>
      </c>
      <c r="F141" s="65" t="n">
        <v>4000</v>
      </c>
      <c r="G141" s="65" t="n">
        <v>1500</v>
      </c>
      <c r="H141" s="65">
        <f>SUM(E141:G141)</f>
        <v/>
      </c>
      <c r="I141" s="65">
        <f>D141+E141+F141+G141</f>
        <v/>
      </c>
    </row>
    <row r="142" ht="15.75" customHeight="1">
      <c r="A142" s="1" t="inlineStr">
        <is>
          <t>2025/26</t>
        </is>
      </c>
      <c r="B142" s="6" t="n">
        <v>46204</v>
      </c>
      <c r="C142" s="16" t="inlineStr">
        <is>
          <t>Jul</t>
        </is>
      </c>
      <c r="D142" s="65" t="n">
        <v>6000</v>
      </c>
      <c r="E142" s="65" t="n">
        <v>3000</v>
      </c>
      <c r="F142" s="65" t="n">
        <v>4000</v>
      </c>
      <c r="G142" s="65" t="n">
        <v>1000</v>
      </c>
      <c r="H142" s="65">
        <f>SUM(E142:G142)</f>
        <v/>
      </c>
      <c r="I142" s="65">
        <f>D142+E142+F142+G142</f>
        <v/>
      </c>
    </row>
    <row r="143" ht="15.75" customHeight="1">
      <c r="A143" s="1" t="inlineStr">
        <is>
          <t>2025/26</t>
        </is>
      </c>
      <c r="B143" s="6" t="n">
        <v>46235</v>
      </c>
      <c r="C143" s="16" t="inlineStr">
        <is>
          <t>Aug</t>
        </is>
      </c>
      <c r="D143" s="65" t="n">
        <v>4500</v>
      </c>
      <c r="E143" s="65" t="n">
        <v>7000</v>
      </c>
      <c r="F143" s="65" t="n">
        <v>4000</v>
      </c>
      <c r="G143" s="65" t="n">
        <v>500</v>
      </c>
      <c r="H143" s="65">
        <f>SUM(E143:G143)</f>
        <v/>
      </c>
      <c r="I143" s="65">
        <f>D143+E143+F143+G143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ySplit="1" topLeftCell="A116" activePane="bottomLeft" state="frozen"/>
      <selection pane="bottomLeft" activeCell="J142" sqref="J142"/>
    </sheetView>
  </sheetViews>
  <sheetFormatPr baseColWidth="8" defaultColWidth="9.140625" defaultRowHeight="15.75"/>
  <cols>
    <col width="12.28515625" bestFit="1" customWidth="1" style="27" min="1" max="1"/>
    <col width="17.140625" customWidth="1" style="27" min="2" max="69"/>
    <col width="9.140625" customWidth="1" style="27" min="70" max="70"/>
    <col width="9.140625" customWidth="1" style="27" min="71" max="16384"/>
  </cols>
  <sheetData>
    <row r="1" ht="42" customHeight="1">
      <c r="A1" s="21" t="inlineStr">
        <is>
          <t>Market Year</t>
        </is>
      </c>
      <c r="B1" s="22" t="inlineStr">
        <is>
          <t>Date</t>
        </is>
      </c>
      <c r="C1" s="22" t="inlineStr">
        <is>
          <t>Month</t>
        </is>
      </c>
      <c r="D1" s="23" t="inlineStr">
        <is>
          <t>US</t>
        </is>
      </c>
      <c r="E1" s="23" t="inlineStr">
        <is>
          <t>Brazil</t>
        </is>
      </c>
      <c r="F1" s="23" t="inlineStr">
        <is>
          <t>Argentina</t>
        </is>
      </c>
      <c r="G1" s="24" t="inlineStr">
        <is>
          <t>Total Non US</t>
        </is>
      </c>
      <c r="H1" s="25" t="inlineStr">
        <is>
          <t>Major Expoter</t>
        </is>
      </c>
      <c r="I1" s="23" t="inlineStr">
        <is>
          <t>China Imports</t>
        </is>
      </c>
      <c r="J1" s="26" t="n"/>
    </row>
    <row r="2">
      <c r="A2" s="21" t="inlineStr">
        <is>
          <t>2014/15</t>
        </is>
      </c>
      <c r="B2" s="28" t="n">
        <v>41913</v>
      </c>
      <c r="C2" s="28" t="inlineStr">
        <is>
          <t>Oct</t>
        </is>
      </c>
      <c r="D2" s="29" t="n">
        <v>8973.733</v>
      </c>
      <c r="E2" s="30" t="n">
        <v>739.653</v>
      </c>
      <c r="F2" s="30" t="n">
        <v>163.11199</v>
      </c>
      <c r="G2" s="31">
        <f>E2+F2</f>
        <v/>
      </c>
      <c r="H2" s="29">
        <f>SUM(D2:F2)</f>
        <v/>
      </c>
      <c r="I2" s="31" t="n">
        <v>4101.851795</v>
      </c>
      <c r="J2" s="32" t="n"/>
    </row>
    <row r="3">
      <c r="A3" s="21" t="inlineStr">
        <is>
          <t>2014/15</t>
        </is>
      </c>
      <c r="B3" s="28" t="n">
        <v>41944</v>
      </c>
      <c r="C3" s="28" t="inlineStr">
        <is>
          <t>Nov</t>
        </is>
      </c>
      <c r="D3" s="29" t="n">
        <v>11023.1364</v>
      </c>
      <c r="E3" s="30" t="n">
        <v>176.117</v>
      </c>
      <c r="F3" s="30" t="n">
        <v>7.92754</v>
      </c>
      <c r="G3" s="31">
        <f>E3+F3</f>
        <v/>
      </c>
      <c r="H3" s="29">
        <f>SUM(D3:F3)</f>
        <v/>
      </c>
      <c r="I3" s="31" t="n">
        <v>6026.441353</v>
      </c>
      <c r="J3" s="32" t="n"/>
    </row>
    <row r="4">
      <c r="A4" s="21" t="inlineStr">
        <is>
          <t>2014/15</t>
        </is>
      </c>
      <c r="B4" s="28" t="n">
        <v>41974</v>
      </c>
      <c r="C4" s="28" t="inlineStr">
        <is>
          <t>Dec</t>
        </is>
      </c>
      <c r="D4" s="29" t="n">
        <v>8205.1121</v>
      </c>
      <c r="E4" s="30" t="n">
        <v>138.409</v>
      </c>
      <c r="F4" s="30" t="n">
        <v>25.84244</v>
      </c>
      <c r="G4" s="31">
        <f>E4+F4</f>
        <v/>
      </c>
      <c r="H4" s="29">
        <f>SUM(D4:F4)</f>
        <v/>
      </c>
      <c r="I4" s="31" t="n">
        <v>8526.823573</v>
      </c>
      <c r="J4" s="32" t="n"/>
    </row>
    <row r="5">
      <c r="A5" s="21" t="inlineStr">
        <is>
          <t>2014/15</t>
        </is>
      </c>
      <c r="B5" s="28" t="n">
        <v>42005</v>
      </c>
      <c r="C5" s="28" t="inlineStr">
        <is>
          <t>Jan</t>
        </is>
      </c>
      <c r="D5" s="29" t="n">
        <v>6998.454</v>
      </c>
      <c r="E5" s="30" t="n">
        <v>85.221</v>
      </c>
      <c r="F5" s="30" t="n">
        <v>43.52294</v>
      </c>
      <c r="G5" s="31">
        <f>E5+F5</f>
        <v/>
      </c>
      <c r="H5" s="29">
        <f>SUM(D5:F5)</f>
        <v/>
      </c>
      <c r="I5" s="31" t="n">
        <v>6875.057723</v>
      </c>
      <c r="J5" s="32" t="n"/>
    </row>
    <row r="6">
      <c r="A6" s="21" t="inlineStr">
        <is>
          <t>2014/15</t>
        </is>
      </c>
      <c r="B6" s="28" t="n">
        <v>42036</v>
      </c>
      <c r="C6" s="28" t="inlineStr">
        <is>
          <t>Feb</t>
        </is>
      </c>
      <c r="D6" s="29" t="n">
        <v>4532.0281</v>
      </c>
      <c r="E6" s="30" t="n">
        <v>868.635</v>
      </c>
      <c r="F6" s="30" t="n">
        <v>9.027609999999999</v>
      </c>
      <c r="G6" s="31">
        <f>E6+F6</f>
        <v/>
      </c>
      <c r="H6" s="29">
        <f>SUM(D6:F6)</f>
        <v/>
      </c>
      <c r="I6" s="31" t="n">
        <v>4263.413774</v>
      </c>
      <c r="J6" s="32" t="n"/>
    </row>
    <row r="7">
      <c r="A7" s="21" t="inlineStr">
        <is>
          <t>2014/15</t>
        </is>
      </c>
      <c r="B7" s="28" t="n">
        <v>42064</v>
      </c>
      <c r="C7" s="28" t="inlineStr">
        <is>
          <t>Mar</t>
        </is>
      </c>
      <c r="D7" s="29" t="n">
        <v>2560.7485</v>
      </c>
      <c r="E7" s="30" t="n">
        <v>5592.097</v>
      </c>
      <c r="F7" s="30" t="n">
        <v>11.29255</v>
      </c>
      <c r="G7" s="31">
        <f>E7+F7</f>
        <v/>
      </c>
      <c r="H7" s="29">
        <f>SUM(D7:F7)</f>
        <v/>
      </c>
      <c r="I7" s="31" t="n">
        <v>4493.037799</v>
      </c>
      <c r="J7" s="32" t="n"/>
    </row>
    <row r="8">
      <c r="A8" s="21" t="inlineStr">
        <is>
          <t>2014/15</t>
        </is>
      </c>
      <c r="B8" s="28" t="n">
        <v>42095</v>
      </c>
      <c r="C8" s="28" t="inlineStr">
        <is>
          <t>Apr</t>
        </is>
      </c>
      <c r="D8" s="29" t="n">
        <v>1351.7989</v>
      </c>
      <c r="E8" s="30" t="n">
        <v>6550.978</v>
      </c>
      <c r="F8" s="30" t="n">
        <v>1339.962981</v>
      </c>
      <c r="G8" s="31">
        <f>E8+F8</f>
        <v/>
      </c>
      <c r="H8" s="29">
        <f>SUM(D8:F8)</f>
        <v/>
      </c>
      <c r="I8" s="31" t="n">
        <v>5309.954553</v>
      </c>
      <c r="J8" s="32" t="n"/>
    </row>
    <row r="9">
      <c r="A9" s="21" t="inlineStr">
        <is>
          <t>2014/15</t>
        </is>
      </c>
      <c r="B9" s="28" t="n">
        <v>42125</v>
      </c>
      <c r="C9" s="28" t="inlineStr">
        <is>
          <t>May</t>
        </is>
      </c>
      <c r="D9" s="29" t="n">
        <v>1197.5979</v>
      </c>
      <c r="E9" s="30" t="n">
        <v>9340.958000000001</v>
      </c>
      <c r="F9" s="30" t="n">
        <v>2488.421422</v>
      </c>
      <c r="G9" s="31">
        <f>E9+F9</f>
        <v/>
      </c>
      <c r="H9" s="29">
        <f>SUM(D9:F9)</f>
        <v/>
      </c>
      <c r="I9" s="31" t="n">
        <v>6126.975469</v>
      </c>
      <c r="J9" s="32" t="n"/>
    </row>
    <row r="10">
      <c r="A10" s="21" t="inlineStr">
        <is>
          <t>2014/15</t>
        </is>
      </c>
      <c r="B10" s="28" t="n">
        <v>42156</v>
      </c>
      <c r="C10" s="28" t="inlineStr">
        <is>
          <t>Jun</t>
        </is>
      </c>
      <c r="D10" s="29" t="n">
        <v>936.501</v>
      </c>
      <c r="E10" s="30" t="n">
        <v>9810.117</v>
      </c>
      <c r="F10" s="30" t="n">
        <v>2367.711571</v>
      </c>
      <c r="G10" s="31">
        <f>E10+F10</f>
        <v/>
      </c>
      <c r="H10" s="29">
        <f>SUM(D10:F10)</f>
        <v/>
      </c>
      <c r="I10" s="31" t="n">
        <v>8087.089917</v>
      </c>
      <c r="J10" s="32" t="n"/>
    </row>
    <row r="11">
      <c r="A11" s="21" t="inlineStr">
        <is>
          <t>2014/15</t>
        </is>
      </c>
      <c r="B11" s="28" t="n">
        <v>42186</v>
      </c>
      <c r="C11" s="28" t="inlineStr">
        <is>
          <t>Jul</t>
        </is>
      </c>
      <c r="D11" s="29" t="n">
        <v>1079.2905</v>
      </c>
      <c r="E11" s="30" t="n">
        <v>8440.317999999999</v>
      </c>
      <c r="F11" s="30" t="n">
        <v>1441.411668</v>
      </c>
      <c r="G11" s="31">
        <f>E11+F11</f>
        <v/>
      </c>
      <c r="H11" s="29">
        <f>SUM(D11:F11)</f>
        <v/>
      </c>
      <c r="I11" s="31" t="n">
        <v>9500.013368</v>
      </c>
      <c r="J11" s="32" t="n"/>
    </row>
    <row r="12">
      <c r="A12" s="21" t="inlineStr">
        <is>
          <t>2014/15</t>
        </is>
      </c>
      <c r="B12" s="28" t="n">
        <v>42217</v>
      </c>
      <c r="C12" s="28" t="inlineStr">
        <is>
          <t>Aug</t>
        </is>
      </c>
      <c r="D12" s="29" t="n">
        <v>1159.7559</v>
      </c>
      <c r="E12" s="30" t="n">
        <v>5161.824</v>
      </c>
      <c r="F12" s="30" t="n">
        <v>1256.599212</v>
      </c>
      <c r="G12" s="31">
        <f>E12+F12</f>
        <v/>
      </c>
      <c r="H12" s="29">
        <f>SUM(D12:F12)</f>
        <v/>
      </c>
      <c r="I12" s="31" t="n">
        <v>7783.529745</v>
      </c>
      <c r="J12" s="32" t="n"/>
    </row>
    <row r="13">
      <c r="A13" s="21" t="inlineStr">
        <is>
          <t>2014/15</t>
        </is>
      </c>
      <c r="B13" s="28" t="n">
        <v>42248</v>
      </c>
      <c r="C13" s="28" t="inlineStr">
        <is>
          <t>Sep</t>
        </is>
      </c>
      <c r="D13" s="29" t="n">
        <v>2349.5696</v>
      </c>
      <c r="E13" s="30" t="n">
        <v>3704.628</v>
      </c>
      <c r="F13" s="30" t="n">
        <v>1393.487189</v>
      </c>
      <c r="G13" s="31">
        <f>E13+F13</f>
        <v/>
      </c>
      <c r="H13" s="29">
        <f>SUM(D13:F13)</f>
        <v/>
      </c>
      <c r="I13" s="31" t="n">
        <v>7255.491426</v>
      </c>
      <c r="J13" s="32" t="n"/>
    </row>
    <row r="14">
      <c r="A14" s="21" t="inlineStr">
        <is>
          <t>2015/16</t>
        </is>
      </c>
      <c r="B14" s="28" t="n">
        <v>42278</v>
      </c>
      <c r="C14" s="28" t="inlineStr">
        <is>
          <t>Oct</t>
        </is>
      </c>
      <c r="D14" s="29" t="n">
        <v>10018.2705</v>
      </c>
      <c r="E14" s="31" t="n">
        <v>2593.82</v>
      </c>
      <c r="F14" s="31" t="n">
        <v>921.188174</v>
      </c>
      <c r="G14" s="31">
        <f>E14+F14</f>
        <v/>
      </c>
      <c r="H14" s="29">
        <f>SUM(D14:F14)</f>
        <v/>
      </c>
      <c r="I14" s="31" t="n">
        <v>5531.696217</v>
      </c>
      <c r="J14" s="32" t="n"/>
    </row>
    <row r="15">
      <c r="A15" s="21" t="inlineStr">
        <is>
          <t>2015/16</t>
        </is>
      </c>
      <c r="B15" s="28" t="n">
        <v>42309</v>
      </c>
      <c r="C15" s="28" t="inlineStr">
        <is>
          <t>Nov</t>
        </is>
      </c>
      <c r="D15" s="29" t="n">
        <v>9169.269199999999</v>
      </c>
      <c r="E15" s="31" t="n">
        <v>1442.841</v>
      </c>
      <c r="F15" s="31" t="n">
        <v>276.673469</v>
      </c>
      <c r="G15" s="31">
        <f>E15+F15</f>
        <v/>
      </c>
      <c r="H15" s="29">
        <f>SUM(D15:F15)</f>
        <v/>
      </c>
      <c r="I15" s="31" t="n">
        <v>7393.450279</v>
      </c>
      <c r="J15" s="32" t="n"/>
    </row>
    <row r="16">
      <c r="A16" s="21" t="inlineStr">
        <is>
          <t>2015/16</t>
        </is>
      </c>
      <c r="B16" s="28" t="n">
        <v>42339</v>
      </c>
      <c r="C16" s="28" t="inlineStr">
        <is>
          <t>Dec</t>
        </is>
      </c>
      <c r="D16" s="29" t="n">
        <v>6798.285900000001</v>
      </c>
      <c r="E16" s="31" t="n">
        <v>731.2140000000001</v>
      </c>
      <c r="F16" s="31" t="n">
        <v>75.94744</v>
      </c>
      <c r="G16" s="31">
        <f>E16+F16</f>
        <v/>
      </c>
      <c r="H16" s="29">
        <f>SUM(D16:F16)</f>
        <v/>
      </c>
      <c r="I16" s="31" t="n">
        <v>9119.844477000001</v>
      </c>
      <c r="J16" s="32" t="n"/>
    </row>
    <row r="17">
      <c r="A17" s="21" t="inlineStr">
        <is>
          <t>2015/16</t>
        </is>
      </c>
      <c r="B17" s="28" t="n">
        <v>42370</v>
      </c>
      <c r="C17" s="28" t="inlineStr">
        <is>
          <t>Jan</t>
        </is>
      </c>
      <c r="D17" s="29" t="n">
        <v>6085.6731</v>
      </c>
      <c r="E17" s="31" t="n">
        <v>394.422</v>
      </c>
      <c r="F17" s="31" t="n">
        <v>44.62274</v>
      </c>
      <c r="G17" s="31">
        <f>E17+F17</f>
        <v/>
      </c>
      <c r="H17" s="29">
        <f>SUM(D17:F17)</f>
        <v/>
      </c>
      <c r="I17" s="31" t="n">
        <v>5656.896925</v>
      </c>
      <c r="J17" s="32" t="n"/>
    </row>
    <row r="18">
      <c r="A18" s="21" t="inlineStr">
        <is>
          <t>2015/16</t>
        </is>
      </c>
      <c r="B18" s="28" t="n">
        <v>42401</v>
      </c>
      <c r="C18" s="28" t="inlineStr">
        <is>
          <t>Feb</t>
        </is>
      </c>
      <c r="D18" s="29" t="n">
        <v>5684.936299999999</v>
      </c>
      <c r="E18" s="31" t="n">
        <v>2036.79</v>
      </c>
      <c r="F18" s="31" t="n">
        <v>6.3587</v>
      </c>
      <c r="G18" s="31">
        <f>E18+F18</f>
        <v/>
      </c>
      <c r="H18" s="29">
        <f>SUM(D18:F18)</f>
        <v/>
      </c>
      <c r="I18" s="31" t="n">
        <v>4507.767951</v>
      </c>
      <c r="J18" s="32" t="n"/>
    </row>
    <row r="19">
      <c r="A19" s="21" t="inlineStr">
        <is>
          <t>2015/16</t>
        </is>
      </c>
      <c r="B19" s="28" t="n">
        <v>42430</v>
      </c>
      <c r="C19" s="28" t="inlineStr">
        <is>
          <t>Mar</t>
        </is>
      </c>
      <c r="D19" s="29" t="n">
        <v>2641.9826</v>
      </c>
      <c r="E19" s="31" t="n">
        <v>8373.834999999999</v>
      </c>
      <c r="F19" s="31" t="n">
        <v>32.57233</v>
      </c>
      <c r="G19" s="31">
        <f>E19+F19</f>
        <v/>
      </c>
      <c r="H19" s="29">
        <f>SUM(D19:F19)</f>
        <v/>
      </c>
      <c r="I19" s="31" t="n">
        <v>6097.532047</v>
      </c>
      <c r="J19" s="32" t="n"/>
    </row>
    <row r="20">
      <c r="A20" s="33" t="inlineStr">
        <is>
          <t>2015/16</t>
        </is>
      </c>
      <c r="B20" s="34" t="n">
        <v>42461</v>
      </c>
      <c r="C20" s="34" t="inlineStr">
        <is>
          <t>Apr</t>
        </is>
      </c>
      <c r="D20" s="35" t="n">
        <v>1360.3617</v>
      </c>
      <c r="E20" s="36" t="n">
        <v>10085.875</v>
      </c>
      <c r="F20" s="36" t="n">
        <v>673.743439</v>
      </c>
      <c r="G20" s="36">
        <f>E20+F20</f>
        <v/>
      </c>
      <c r="H20" s="35">
        <f>SUM(D20:F20)</f>
        <v/>
      </c>
      <c r="I20" s="36" t="n">
        <v>7071.135789</v>
      </c>
      <c r="J20" s="37" t="n"/>
    </row>
    <row r="21">
      <c r="A21" s="21" t="inlineStr">
        <is>
          <t>2015/16</t>
        </is>
      </c>
      <c r="B21" s="28" t="n">
        <v>42491</v>
      </c>
      <c r="C21" s="28" t="inlineStr">
        <is>
          <t>May</t>
        </is>
      </c>
      <c r="D21" s="29" t="n">
        <v>887.6233000000001</v>
      </c>
      <c r="E21" s="31" t="n">
        <v>9925.1</v>
      </c>
      <c r="F21" s="31" t="n">
        <v>2191.079737</v>
      </c>
      <c r="G21" s="31">
        <f>E21+F21</f>
        <v/>
      </c>
      <c r="H21" s="29">
        <f>SUM(D21:F21)</f>
        <v/>
      </c>
      <c r="I21" s="31" t="n">
        <v>7664.173749</v>
      </c>
      <c r="J21" s="32" t="n"/>
    </row>
    <row r="22">
      <c r="A22" s="21" t="inlineStr">
        <is>
          <t>2015/16</t>
        </is>
      </c>
      <c r="B22" s="28" t="n">
        <v>42522</v>
      </c>
      <c r="C22" s="28" t="inlineStr">
        <is>
          <t>Jun</t>
        </is>
      </c>
      <c r="D22" s="29" t="n">
        <v>1052.4514</v>
      </c>
      <c r="E22" s="31" t="n">
        <v>7761.03</v>
      </c>
      <c r="F22" s="31" t="n">
        <v>2066.416763</v>
      </c>
      <c r="G22" s="31">
        <f>E22+F22</f>
        <v/>
      </c>
      <c r="H22" s="29">
        <f>SUM(D22:F22)</f>
        <v/>
      </c>
      <c r="I22" s="31" t="n">
        <v>7564.805121</v>
      </c>
      <c r="J22" s="32" t="n"/>
    </row>
    <row r="23">
      <c r="A23" s="21" t="inlineStr">
        <is>
          <t>2015/16</t>
        </is>
      </c>
      <c r="B23" s="28" t="n">
        <v>42552</v>
      </c>
      <c r="C23" s="28" t="inlineStr">
        <is>
          <t>Jul</t>
        </is>
      </c>
      <c r="D23" s="29" t="n">
        <v>2660.0982</v>
      </c>
      <c r="E23" s="31" t="n">
        <v>5787.189</v>
      </c>
      <c r="F23" s="31" t="n">
        <v>1327.026382</v>
      </c>
      <c r="G23" s="31">
        <f>E23+F23</f>
        <v/>
      </c>
      <c r="H23" s="29">
        <f>SUM(D23:F23)</f>
        <v/>
      </c>
      <c r="I23" s="31" t="n">
        <v>7757.785907</v>
      </c>
      <c r="J23" s="32" t="n"/>
    </row>
    <row r="24">
      <c r="A24" s="21" t="inlineStr">
        <is>
          <t>2015/16</t>
        </is>
      </c>
      <c r="B24" s="28" t="n">
        <v>42583</v>
      </c>
      <c r="C24" s="28" t="inlineStr">
        <is>
          <t>Aug</t>
        </is>
      </c>
      <c r="D24" s="29" t="n">
        <v>4160.5652</v>
      </c>
      <c r="E24" s="31" t="n">
        <v>3816.156</v>
      </c>
      <c r="F24" s="31" t="n">
        <v>1309.189694</v>
      </c>
      <c r="G24" s="31">
        <f>E24+F24</f>
        <v/>
      </c>
      <c r="H24" s="29">
        <f>SUM(D24:F24)</f>
        <v/>
      </c>
      <c r="I24" s="31" t="n">
        <v>7671.100916</v>
      </c>
      <c r="J24" s="32" t="n"/>
    </row>
    <row r="25">
      <c r="A25" s="21" t="inlineStr">
        <is>
          <t>2015/16</t>
        </is>
      </c>
      <c r="B25" s="28" t="n">
        <v>42614</v>
      </c>
      <c r="C25" s="28" t="inlineStr">
        <is>
          <t>Sep</t>
        </is>
      </c>
      <c r="D25" s="29" t="n">
        <v>3749.7114</v>
      </c>
      <c r="E25" s="31" t="n">
        <v>1441.97</v>
      </c>
      <c r="F25" s="31" t="n">
        <v>972.800585</v>
      </c>
      <c r="G25" s="31">
        <f>E25+F25</f>
        <v/>
      </c>
      <c r="H25" s="29">
        <f>SUM(D25:F25)</f>
        <v/>
      </c>
      <c r="I25" s="31" t="n">
        <v>7193.758097</v>
      </c>
      <c r="J25" s="32" t="n"/>
    </row>
    <row r="26">
      <c r="A26" s="21" t="inlineStr">
        <is>
          <t>2016/17</t>
        </is>
      </c>
      <c r="B26" s="28" t="n">
        <v>42644</v>
      </c>
      <c r="C26" s="28" t="inlineStr">
        <is>
          <t>Oct</t>
        </is>
      </c>
      <c r="D26" s="29" t="n">
        <v>11169.6671</v>
      </c>
      <c r="E26" s="31" t="n">
        <v>998.0890000000001</v>
      </c>
      <c r="F26" s="31" t="n">
        <v>210.13927</v>
      </c>
      <c r="G26" s="31">
        <f>E26+F26</f>
        <v/>
      </c>
      <c r="H26" s="29">
        <f>SUM(D26:F26)</f>
        <v/>
      </c>
      <c r="I26" s="31" t="n">
        <v>5213.722036</v>
      </c>
      <c r="J26" s="32" t="n"/>
    </row>
    <row r="27">
      <c r="A27" s="21" t="inlineStr">
        <is>
          <t>2016/17</t>
        </is>
      </c>
      <c r="B27" s="28" t="n">
        <v>42675</v>
      </c>
      <c r="C27" s="28" t="inlineStr">
        <is>
          <t>Nov</t>
        </is>
      </c>
      <c r="D27" s="29" t="n">
        <v>10363.783</v>
      </c>
      <c r="E27" s="31" t="n">
        <v>314.66</v>
      </c>
      <c r="F27" s="31" t="n">
        <v>5.93716</v>
      </c>
      <c r="G27" s="31">
        <f>E27+F27</f>
        <v/>
      </c>
      <c r="H27" s="29">
        <f>SUM(D27:F27)</f>
        <v/>
      </c>
      <c r="I27" s="31" t="n">
        <v>7835.410647</v>
      </c>
      <c r="J27" s="32" t="n"/>
    </row>
    <row r="28">
      <c r="A28" s="21" t="inlineStr">
        <is>
          <t>2016/17</t>
        </is>
      </c>
      <c r="B28" s="28" t="n">
        <v>42705</v>
      </c>
      <c r="C28" s="28" t="inlineStr">
        <is>
          <t>Dec</t>
        </is>
      </c>
      <c r="D28" s="29" t="n">
        <v>7980.1142</v>
      </c>
      <c r="E28" s="31" t="n">
        <v>652.722</v>
      </c>
      <c r="F28" s="31" t="n">
        <v>78.2607</v>
      </c>
      <c r="G28" s="31">
        <f>E28+F28</f>
        <v/>
      </c>
      <c r="H28" s="29">
        <f>SUM(D28:F28)</f>
        <v/>
      </c>
      <c r="I28" s="31" t="n">
        <v>8996.080972</v>
      </c>
      <c r="J28" s="32" t="n"/>
    </row>
    <row r="29">
      <c r="A29" s="21" t="inlineStr">
        <is>
          <t>2016/17</t>
        </is>
      </c>
      <c r="B29" s="28" t="n">
        <v>42736</v>
      </c>
      <c r="C29" s="28" t="inlineStr">
        <is>
          <t>Jan</t>
        </is>
      </c>
      <c r="D29" s="29" t="n">
        <v>7015.8138</v>
      </c>
      <c r="E29" s="31" t="n">
        <v>911.797</v>
      </c>
      <c r="F29" s="31" t="n">
        <v>87.25966</v>
      </c>
      <c r="G29" s="31">
        <f>E29+F29</f>
        <v/>
      </c>
      <c r="H29" s="29">
        <f>SUM(D29:F29)</f>
        <v/>
      </c>
      <c r="I29" s="31" t="n">
        <v>7656.916791</v>
      </c>
      <c r="J29" s="32" t="n"/>
    </row>
    <row r="30">
      <c r="A30" s="21" t="inlineStr">
        <is>
          <t>2016/17</t>
        </is>
      </c>
      <c r="B30" s="28" t="n">
        <v>42767</v>
      </c>
      <c r="C30" s="28" t="inlineStr">
        <is>
          <t>Feb</t>
        </is>
      </c>
      <c r="D30" s="29" t="n">
        <v>4459.523</v>
      </c>
      <c r="E30" s="31" t="n">
        <v>3509.382</v>
      </c>
      <c r="F30" s="31" t="n">
        <v>24.3369</v>
      </c>
      <c r="G30" s="31">
        <f>E30+F30</f>
        <v/>
      </c>
      <c r="H30" s="29">
        <f>SUM(D30:F30)</f>
        <v/>
      </c>
      <c r="I30" s="31" t="n">
        <v>5537.695015</v>
      </c>
      <c r="J30" s="32" t="n"/>
    </row>
    <row r="31">
      <c r="A31" s="21" t="inlineStr">
        <is>
          <t>2016/17</t>
        </is>
      </c>
      <c r="B31" s="28" t="n">
        <v>42795</v>
      </c>
      <c r="C31" s="28" t="inlineStr">
        <is>
          <t>Mar</t>
        </is>
      </c>
      <c r="D31" s="29" t="n">
        <v>3219.5651</v>
      </c>
      <c r="E31" s="31" t="n">
        <v>8991.105</v>
      </c>
      <c r="F31" s="31" t="n">
        <v>71.78823</v>
      </c>
      <c r="G31" s="31">
        <f>E31+F31</f>
        <v/>
      </c>
      <c r="H31" s="29">
        <f>SUM(D31:F31)</f>
        <v/>
      </c>
      <c r="I31" s="31" t="n">
        <v>6326.836986</v>
      </c>
      <c r="J31" s="32" t="n"/>
    </row>
    <row r="32">
      <c r="A32" s="21" t="inlineStr">
        <is>
          <t>2016/17</t>
        </is>
      </c>
      <c r="B32" s="28" t="n">
        <v>42826</v>
      </c>
      <c r="C32" s="28" t="inlineStr">
        <is>
          <t>Apr</t>
        </is>
      </c>
      <c r="D32" s="29" t="n">
        <v>2458.7142</v>
      </c>
      <c r="E32" s="31" t="n">
        <v>10432.122</v>
      </c>
      <c r="F32" s="31" t="n">
        <v>846.291477</v>
      </c>
      <c r="G32" s="31">
        <f>E32+F32</f>
        <v/>
      </c>
      <c r="H32" s="29">
        <f>SUM(D32:F32)</f>
        <v/>
      </c>
      <c r="I32" s="31" t="n">
        <v>8013.240374</v>
      </c>
      <c r="J32" s="32" t="n"/>
    </row>
    <row r="33">
      <c r="A33" s="21" t="inlineStr">
        <is>
          <t>2016/17</t>
        </is>
      </c>
      <c r="B33" s="28" t="n">
        <v>42856</v>
      </c>
      <c r="C33" s="28" t="inlineStr">
        <is>
          <t>May</t>
        </is>
      </c>
      <c r="D33" s="29" t="n">
        <v>1450.9294</v>
      </c>
      <c r="E33" s="31" t="n">
        <v>10959.868</v>
      </c>
      <c r="F33" s="31" t="n">
        <v>1680.322921</v>
      </c>
      <c r="G33" s="31">
        <f>E33+F33</f>
        <v/>
      </c>
      <c r="H33" s="29">
        <f>SUM(D33:F33)</f>
        <v/>
      </c>
      <c r="I33" s="31" t="n">
        <v>9585.729249</v>
      </c>
      <c r="J33" s="32" t="n"/>
    </row>
    <row r="34">
      <c r="A34" s="21" t="inlineStr">
        <is>
          <t>2016/17</t>
        </is>
      </c>
      <c r="B34" s="28" t="n">
        <v>42887</v>
      </c>
      <c r="C34" s="28" t="inlineStr">
        <is>
          <t>Jun</t>
        </is>
      </c>
      <c r="D34" s="29" t="n">
        <v>1786.258</v>
      </c>
      <c r="E34" s="31" t="n">
        <v>9196.883</v>
      </c>
      <c r="F34" s="31" t="n">
        <v>1461.877635</v>
      </c>
      <c r="G34" s="31">
        <f>E34+F34</f>
        <v/>
      </c>
      <c r="H34" s="29">
        <f>SUM(D34:F34)</f>
        <v/>
      </c>
      <c r="I34" s="31" t="n">
        <v>7686.551887</v>
      </c>
      <c r="J34" s="32" t="n"/>
    </row>
    <row r="35">
      <c r="A35" s="21" t="inlineStr">
        <is>
          <t>2016/17</t>
        </is>
      </c>
      <c r="B35" s="28" t="n">
        <v>42917</v>
      </c>
      <c r="C35" s="28" t="inlineStr">
        <is>
          <t>Jul</t>
        </is>
      </c>
      <c r="D35" s="29" t="n">
        <v>2319.5637</v>
      </c>
      <c r="E35" s="31" t="n">
        <v>6954.982</v>
      </c>
      <c r="F35" s="31" t="n">
        <v>583.470995</v>
      </c>
      <c r="G35" s="31">
        <f>E35+F35</f>
        <v/>
      </c>
      <c r="H35" s="29">
        <f>SUM(D35:F35)</f>
        <v/>
      </c>
      <c r="I35" s="31" t="n">
        <v>10081.37335</v>
      </c>
      <c r="J35" s="32" t="n"/>
    </row>
    <row r="36">
      <c r="A36" s="21" t="inlineStr">
        <is>
          <t>2016/17</t>
        </is>
      </c>
      <c r="B36" s="28" t="n">
        <v>42948</v>
      </c>
      <c r="C36" s="28" t="inlineStr">
        <is>
          <t>Aug</t>
        </is>
      </c>
      <c r="D36" s="29" t="n">
        <v>2990.2196</v>
      </c>
      <c r="E36" s="31" t="n">
        <v>5959.935</v>
      </c>
      <c r="F36" s="31" t="n">
        <v>885.120046</v>
      </c>
      <c r="G36" s="31">
        <f>E36+F36</f>
        <v/>
      </c>
      <c r="H36" s="29">
        <f>SUM(D36:F36)</f>
        <v/>
      </c>
      <c r="I36" s="31" t="n">
        <v>8449.085886000001</v>
      </c>
      <c r="J36" s="32" t="n"/>
    </row>
    <row r="37">
      <c r="A37" s="21" t="inlineStr">
        <is>
          <t>2016/17</t>
        </is>
      </c>
      <c r="B37" s="28" t="n">
        <v>42979</v>
      </c>
      <c r="C37" s="28" t="inlineStr">
        <is>
          <t>Sep</t>
        </is>
      </c>
      <c r="D37" s="29" t="n">
        <v>4504.9764</v>
      </c>
      <c r="E37" s="31" t="n">
        <v>4267.967</v>
      </c>
      <c r="F37" s="31" t="n">
        <v>1058.391641</v>
      </c>
      <c r="G37" s="31">
        <f>E37+F37</f>
        <v/>
      </c>
      <c r="H37" s="29">
        <f>SUM(D37:F37)</f>
        <v/>
      </c>
      <c r="I37" s="31" t="n">
        <v>8112.781601</v>
      </c>
      <c r="J37" s="32" t="n"/>
    </row>
    <row r="38">
      <c r="A38" s="21" t="inlineStr">
        <is>
          <t>2017/18</t>
        </is>
      </c>
      <c r="B38" s="28" t="n">
        <v>43009</v>
      </c>
      <c r="C38" s="28" t="inlineStr">
        <is>
          <t>Oct</t>
        </is>
      </c>
      <c r="D38" s="29" t="n">
        <v>9643.9881</v>
      </c>
      <c r="E38" s="31" t="n">
        <v>2486.715</v>
      </c>
      <c r="F38" s="31" t="n">
        <v>480.792968</v>
      </c>
      <c r="G38" s="31">
        <f>E38+F38</f>
        <v/>
      </c>
      <c r="H38" s="29">
        <f>SUM(D38:F38)</f>
        <v/>
      </c>
      <c r="I38" s="31" t="n">
        <v>5854.746808</v>
      </c>
      <c r="J38" s="32" t="n"/>
    </row>
    <row r="39">
      <c r="A39" s="21" t="inlineStr">
        <is>
          <t>2017/18</t>
        </is>
      </c>
      <c r="B39" s="28" t="n">
        <v>43040</v>
      </c>
      <c r="C39" s="28" t="inlineStr">
        <is>
          <t>Nov</t>
        </is>
      </c>
      <c r="D39" s="29" t="n">
        <v>9188.044</v>
      </c>
      <c r="E39" s="31" t="n">
        <v>2142.673</v>
      </c>
      <c r="F39" s="31" t="n">
        <v>55.16184</v>
      </c>
      <c r="G39" s="31">
        <f>E39+F39</f>
        <v/>
      </c>
      <c r="H39" s="29">
        <f>SUM(D39:F39)</f>
        <v/>
      </c>
      <c r="I39" s="31" t="n">
        <v>8682.695082</v>
      </c>
      <c r="J39" s="32" t="n"/>
    </row>
    <row r="40">
      <c r="A40" s="21" t="inlineStr">
        <is>
          <t>2017/18</t>
        </is>
      </c>
      <c r="B40" s="28" t="n">
        <v>43070</v>
      </c>
      <c r="C40" s="28" t="inlineStr">
        <is>
          <t>Dec</t>
        </is>
      </c>
      <c r="D40" s="29" t="n">
        <v>6224.906099999999</v>
      </c>
      <c r="E40" s="31" t="n">
        <v>2355.368</v>
      </c>
      <c r="F40" s="31" t="n">
        <v>145.15941</v>
      </c>
      <c r="G40" s="31">
        <f>E40+F40</f>
        <v/>
      </c>
      <c r="H40" s="29">
        <f>SUM(D40:F40)</f>
        <v/>
      </c>
      <c r="I40" s="31" t="n">
        <v>9546.615035999999</v>
      </c>
      <c r="J40" s="32" t="n"/>
    </row>
    <row r="41">
      <c r="A41" s="21" t="inlineStr">
        <is>
          <t>2017/18</t>
        </is>
      </c>
      <c r="B41" s="28" t="n">
        <v>43101</v>
      </c>
      <c r="C41" s="28" t="inlineStr">
        <is>
          <t>Jan</t>
        </is>
      </c>
      <c r="D41" s="29" t="n">
        <v>5807.2834</v>
      </c>
      <c r="E41" s="31" t="n">
        <v>1563.978</v>
      </c>
      <c r="F41" s="31" t="n">
        <v>10.33366</v>
      </c>
      <c r="G41" s="31">
        <f>E41+F41</f>
        <v/>
      </c>
      <c r="H41" s="29">
        <f>SUM(D41:F41)</f>
        <v/>
      </c>
      <c r="I41" s="31" t="n">
        <v>8478.003763999999</v>
      </c>
      <c r="J41" s="32" t="n"/>
    </row>
    <row r="42">
      <c r="A42" s="21" t="inlineStr">
        <is>
          <t>2017/18</t>
        </is>
      </c>
      <c r="B42" s="28" t="n">
        <v>43132</v>
      </c>
      <c r="C42" s="28" t="inlineStr">
        <is>
          <t>Feb</t>
        </is>
      </c>
      <c r="D42" s="29" t="n">
        <v>4237.6267</v>
      </c>
      <c r="E42" s="31" t="n">
        <v>2864.251</v>
      </c>
      <c r="F42" s="31" t="n">
        <v>6.59614</v>
      </c>
      <c r="G42" s="31">
        <f>E42+F42</f>
        <v/>
      </c>
      <c r="H42" s="29">
        <f>SUM(D42:F42)</f>
        <v/>
      </c>
      <c r="I42" s="31" t="n">
        <v>5425.963846</v>
      </c>
      <c r="J42" s="32" t="n"/>
    </row>
    <row r="43">
      <c r="A43" s="21" t="inlineStr">
        <is>
          <t>2017/18</t>
        </is>
      </c>
      <c r="B43" s="28" t="n">
        <v>43160</v>
      </c>
      <c r="C43" s="28" t="inlineStr">
        <is>
          <t>Mar</t>
        </is>
      </c>
      <c r="D43" s="29" t="n">
        <v>3221.5451</v>
      </c>
      <c r="E43" s="31" t="n">
        <v>8853.704</v>
      </c>
      <c r="F43" s="31" t="n">
        <v>12.52907</v>
      </c>
      <c r="G43" s="31">
        <f>E43+F43</f>
        <v/>
      </c>
      <c r="H43" s="29">
        <f>SUM(D43:F43)</f>
        <v/>
      </c>
      <c r="I43" s="31" t="n">
        <v>5663.841436</v>
      </c>
      <c r="J43" s="32" t="n"/>
    </row>
    <row r="44">
      <c r="A44" s="21" t="inlineStr">
        <is>
          <t>2017/18</t>
        </is>
      </c>
      <c r="B44" s="28" t="n">
        <v>43191</v>
      </c>
      <c r="C44" s="28" t="inlineStr">
        <is>
          <t>Apr</t>
        </is>
      </c>
      <c r="D44" s="29" t="n">
        <v>2194.4447</v>
      </c>
      <c r="E44" s="31" t="n">
        <v>10258.645</v>
      </c>
      <c r="F44" s="31" t="n">
        <v>188.11959</v>
      </c>
      <c r="G44" s="31">
        <f>E44+F44</f>
        <v/>
      </c>
      <c r="H44" s="29">
        <f>SUM(D44:F44)</f>
        <v/>
      </c>
      <c r="I44" s="31" t="n">
        <v>6920.913969</v>
      </c>
      <c r="J44" s="32" t="n"/>
    </row>
    <row r="45">
      <c r="A45" s="21" t="inlineStr">
        <is>
          <t>2017/18</t>
        </is>
      </c>
      <c r="B45" s="28" t="n">
        <v>43221</v>
      </c>
      <c r="C45" s="28" t="inlineStr">
        <is>
          <t>May</t>
        </is>
      </c>
      <c r="D45" s="29" t="n">
        <v>3110.4943</v>
      </c>
      <c r="E45" s="31" t="n">
        <v>12353.189</v>
      </c>
      <c r="F45" s="31" t="n">
        <v>471.77947</v>
      </c>
      <c r="G45" s="31">
        <f>E45+F45</f>
        <v/>
      </c>
      <c r="H45" s="29">
        <f>SUM(D45:F45)</f>
        <v/>
      </c>
      <c r="I45" s="31" t="n">
        <v>9687.553561999999</v>
      </c>
      <c r="J45" s="32" t="n"/>
    </row>
    <row r="46">
      <c r="A46" s="21" t="inlineStr">
        <is>
          <t>2017/18</t>
        </is>
      </c>
      <c r="B46" s="28" t="n">
        <v>43252</v>
      </c>
      <c r="C46" s="28" t="inlineStr">
        <is>
          <t>Jun</t>
        </is>
      </c>
      <c r="D46" s="29" t="n">
        <v>3123.0893</v>
      </c>
      <c r="E46" s="31" t="n">
        <v>10420.128</v>
      </c>
      <c r="F46" s="31" t="n">
        <v>559.398595</v>
      </c>
      <c r="G46" s="31">
        <f>E46+F46</f>
        <v/>
      </c>
      <c r="H46" s="29">
        <f>SUM(D46:F46)</f>
        <v/>
      </c>
      <c r="I46" s="31" t="n">
        <v>8698.716221000001</v>
      </c>
      <c r="J46" s="32" t="n"/>
    </row>
    <row r="47">
      <c r="A47" s="21" t="inlineStr">
        <is>
          <t>2017/18</t>
        </is>
      </c>
      <c r="B47" s="28" t="n">
        <v>43282</v>
      </c>
      <c r="C47" s="28" t="inlineStr">
        <is>
          <t>Jul</t>
        </is>
      </c>
      <c r="D47" s="29" t="n">
        <v>3425.2962</v>
      </c>
      <c r="E47" s="31" t="n">
        <v>10198.696</v>
      </c>
      <c r="F47" s="31" t="n">
        <v>45.74615</v>
      </c>
      <c r="G47" s="31">
        <f>E47+F47</f>
        <v/>
      </c>
      <c r="H47" s="29">
        <f>SUM(D47:F47)</f>
        <v/>
      </c>
      <c r="I47" s="31" t="n">
        <v>7974.065385</v>
      </c>
      <c r="J47" s="32" t="n"/>
    </row>
    <row r="48">
      <c r="A48" s="21" t="inlineStr">
        <is>
          <t>2017/18</t>
        </is>
      </c>
      <c r="B48" s="28" t="n">
        <v>43313</v>
      </c>
      <c r="C48" s="28" t="inlineStr">
        <is>
          <t>Aug</t>
        </is>
      </c>
      <c r="D48" s="29" t="n">
        <v>3388.9486</v>
      </c>
      <c r="E48" s="31" t="n">
        <v>8114.53</v>
      </c>
      <c r="F48" s="31" t="n">
        <v>13.304785</v>
      </c>
      <c r="G48" s="31">
        <f>E48+F48</f>
        <v/>
      </c>
      <c r="H48" s="29">
        <f>SUM(D48:F48)</f>
        <v/>
      </c>
      <c r="I48" s="31" t="n">
        <v>9150.183832000001</v>
      </c>
      <c r="J48" s="32" t="n"/>
    </row>
    <row r="49">
      <c r="A49" s="21" t="inlineStr">
        <is>
          <t>2017/18</t>
        </is>
      </c>
      <c r="B49" s="28" t="n">
        <v>43344</v>
      </c>
      <c r="C49" s="28" t="inlineStr">
        <is>
          <t>Sep</t>
        </is>
      </c>
      <c r="D49" s="29" t="n">
        <v>3335.4228</v>
      </c>
      <c r="E49" s="31" t="n">
        <v>4557.03</v>
      </c>
      <c r="F49" s="31" t="n">
        <v>121.206495</v>
      </c>
      <c r="G49" s="31">
        <f>E49+F49</f>
        <v/>
      </c>
      <c r="H49" s="29">
        <f>SUM(D49:F49)</f>
        <v/>
      </c>
      <c r="I49" s="31" t="n">
        <v>8009.609544</v>
      </c>
      <c r="J49" s="32" t="n"/>
    </row>
    <row r="50">
      <c r="A50" s="21" t="inlineStr">
        <is>
          <t>2018/19</t>
        </is>
      </c>
      <c r="B50" s="28" t="n">
        <v>43374</v>
      </c>
      <c r="C50" s="28" t="inlineStr">
        <is>
          <t>Oct</t>
        </is>
      </c>
      <c r="D50" s="29" t="n">
        <v>5457.5377</v>
      </c>
      <c r="E50" s="31" t="n">
        <v>5214.202</v>
      </c>
      <c r="F50" s="31" t="n">
        <v>447.06437</v>
      </c>
      <c r="G50" s="31">
        <f>E50+F50</f>
        <v/>
      </c>
      <c r="H50" s="29">
        <f>SUM(D50:F50)</f>
        <v/>
      </c>
      <c r="I50" s="31" t="n">
        <v>6921.073984</v>
      </c>
      <c r="J50" s="32" t="n"/>
    </row>
    <row r="51">
      <c r="A51" s="21" t="inlineStr">
        <is>
          <t>2018/19</t>
        </is>
      </c>
      <c r="B51" s="28" t="n">
        <v>43405</v>
      </c>
      <c r="C51" s="28" t="inlineStr">
        <is>
          <t>Nov</t>
        </is>
      </c>
      <c r="D51" s="29" t="n">
        <v>4878.6988</v>
      </c>
      <c r="E51" s="31" t="n">
        <v>4814.044</v>
      </c>
      <c r="F51" s="31" t="n">
        <v>922.604323</v>
      </c>
      <c r="G51" s="31">
        <f>E51+F51</f>
        <v/>
      </c>
      <c r="H51" s="29">
        <f>SUM(D51:F51)</f>
        <v/>
      </c>
      <c r="I51" s="31" t="n">
        <v>5383.608776</v>
      </c>
      <c r="J51" s="32" t="n"/>
    </row>
    <row r="52">
      <c r="A52" s="21" t="inlineStr">
        <is>
          <t>2018/19</t>
        </is>
      </c>
      <c r="B52" s="28" t="n">
        <v>43435</v>
      </c>
      <c r="C52" s="28" t="inlineStr">
        <is>
          <t>Dec</t>
        </is>
      </c>
      <c r="D52" s="29" t="n">
        <v>4002.4758</v>
      </c>
      <c r="E52" s="31" t="n">
        <v>4070.435</v>
      </c>
      <c r="F52" s="31" t="n">
        <v>872.22091</v>
      </c>
      <c r="G52" s="31">
        <f>E52+F52</f>
        <v/>
      </c>
      <c r="H52" s="29">
        <f>SUM(D52:F52)</f>
        <v/>
      </c>
      <c r="I52" s="31" t="n">
        <v>5723.479824</v>
      </c>
      <c r="J52" s="32" t="n"/>
    </row>
    <row r="53">
      <c r="A53" s="21" t="inlineStr">
        <is>
          <t>2018/19</t>
        </is>
      </c>
      <c r="B53" s="28" t="n">
        <v>43466</v>
      </c>
      <c r="C53" s="28" t="inlineStr">
        <is>
          <t>Jan</t>
        </is>
      </c>
      <c r="D53" s="29" t="n">
        <v>4807.848099999999</v>
      </c>
      <c r="E53" s="31" t="n">
        <v>2033.94</v>
      </c>
      <c r="F53" s="31" t="n">
        <v>140.943365</v>
      </c>
      <c r="G53" s="31">
        <f>E53+F53</f>
        <v/>
      </c>
      <c r="H53" s="29">
        <f>SUM(D53:F53)</f>
        <v/>
      </c>
      <c r="I53" s="31" t="n">
        <v>7376.344351</v>
      </c>
      <c r="J53" s="32" t="n"/>
    </row>
    <row r="54">
      <c r="A54" s="21" t="inlineStr">
        <is>
          <t>2018/19</t>
        </is>
      </c>
      <c r="B54" s="28" t="n">
        <v>43497</v>
      </c>
      <c r="C54" s="28" t="inlineStr">
        <is>
          <t>Feb</t>
        </is>
      </c>
      <c r="D54" s="29" t="n">
        <v>4522.8804</v>
      </c>
      <c r="E54" s="31" t="n">
        <v>5267.152</v>
      </c>
      <c r="F54" s="31" t="n">
        <v>2.88231</v>
      </c>
      <c r="G54" s="31">
        <f>E54+F54</f>
        <v/>
      </c>
      <c r="H54" s="29">
        <f>SUM(D54:F54)</f>
        <v/>
      </c>
      <c r="I54" s="31" t="n">
        <v>4456.019397</v>
      </c>
      <c r="J54" s="32" t="n"/>
    </row>
    <row r="55">
      <c r="A55" s="21" t="inlineStr">
        <is>
          <t>2018/19</t>
        </is>
      </c>
      <c r="B55" s="28" t="n">
        <v>43525</v>
      </c>
      <c r="C55" s="28" t="inlineStr">
        <is>
          <t>Mar</t>
        </is>
      </c>
      <c r="D55" s="29" t="n">
        <v>3839.0865</v>
      </c>
      <c r="E55" s="31" t="n">
        <v>8455.856</v>
      </c>
      <c r="F55" s="31" t="n">
        <v>32.63869</v>
      </c>
      <c r="G55" s="31">
        <f>E55+F55</f>
        <v/>
      </c>
      <c r="H55" s="29">
        <f>SUM(D55:F55)</f>
        <v/>
      </c>
      <c r="I55" s="31" t="n">
        <v>4916.000086</v>
      </c>
      <c r="J55" s="32" t="n"/>
    </row>
    <row r="56">
      <c r="A56" s="21" t="inlineStr">
        <is>
          <t>2018/19</t>
        </is>
      </c>
      <c r="B56" s="28" t="n">
        <v>43556</v>
      </c>
      <c r="C56" s="28" t="inlineStr">
        <is>
          <t>Apr</t>
        </is>
      </c>
      <c r="D56" s="29" t="n">
        <v>2482.2914</v>
      </c>
      <c r="E56" s="31" t="n">
        <v>9402.945</v>
      </c>
      <c r="F56" s="31" t="n">
        <v>390.466209</v>
      </c>
      <c r="G56" s="31">
        <f>E56+F56</f>
        <v/>
      </c>
      <c r="H56" s="29">
        <f>SUM(D56:F56)</f>
        <v/>
      </c>
      <c r="I56" s="31" t="n">
        <v>7640.221696</v>
      </c>
      <c r="J56" s="32" t="n"/>
    </row>
    <row r="57">
      <c r="A57" s="21" t="inlineStr">
        <is>
          <t>2018/19</t>
        </is>
      </c>
      <c r="B57" s="28" t="n">
        <v>43586</v>
      </c>
      <c r="C57" s="28" t="inlineStr">
        <is>
          <t>May</t>
        </is>
      </c>
      <c r="D57" s="29" t="n">
        <v>2477.1792</v>
      </c>
      <c r="E57" s="31" t="n">
        <v>10012.706</v>
      </c>
      <c r="F57" s="31" t="n">
        <v>1850.538195</v>
      </c>
      <c r="G57" s="31">
        <f>E57+F57</f>
        <v/>
      </c>
      <c r="H57" s="29">
        <f>SUM(D57:F57)</f>
        <v/>
      </c>
      <c r="I57" s="31" t="n">
        <v>7341.796745</v>
      </c>
      <c r="J57" s="32" t="n"/>
    </row>
    <row r="58">
      <c r="A58" s="21" t="inlineStr">
        <is>
          <t>2018/19</t>
        </is>
      </c>
      <c r="B58" s="28" t="n">
        <v>43617</v>
      </c>
      <c r="C58" s="28" t="inlineStr">
        <is>
          <t>Jun</t>
        </is>
      </c>
      <c r="D58" s="29" t="n">
        <v>3271.6122</v>
      </c>
      <c r="E58" s="31" t="n">
        <v>8552.326999999999</v>
      </c>
      <c r="F58" s="31" t="n">
        <v>489.934315</v>
      </c>
      <c r="G58" s="31">
        <f>E58+F58</f>
        <v/>
      </c>
      <c r="H58" s="29">
        <f>SUM(D58:F58)</f>
        <v/>
      </c>
      <c r="I58" s="31" t="n">
        <v>6462.081674</v>
      </c>
      <c r="J58" s="32" t="n"/>
    </row>
    <row r="59">
      <c r="A59" s="21" t="inlineStr">
        <is>
          <t>2018/19</t>
        </is>
      </c>
      <c r="B59" s="28" t="n">
        <v>43647</v>
      </c>
      <c r="C59" s="28" t="inlineStr">
        <is>
          <t>Jul</t>
        </is>
      </c>
      <c r="D59" s="29" t="n">
        <v>3701.9041</v>
      </c>
      <c r="E59" s="31" t="n">
        <v>7443.603</v>
      </c>
      <c r="F59" s="31" t="n">
        <v>1351.490878</v>
      </c>
      <c r="G59" s="31">
        <f>E59+F59</f>
        <v/>
      </c>
      <c r="H59" s="29">
        <f>SUM(D59:F59)</f>
        <v/>
      </c>
      <c r="I59" s="31" t="n">
        <v>8640.857459000001</v>
      </c>
      <c r="J59" s="32" t="n"/>
    </row>
    <row r="60">
      <c r="A60" s="21" t="inlineStr">
        <is>
          <t>2018/19</t>
        </is>
      </c>
      <c r="B60" s="28" t="n">
        <v>43678</v>
      </c>
      <c r="C60" s="28" t="inlineStr">
        <is>
          <t>Aug</t>
        </is>
      </c>
      <c r="D60" s="29" t="n">
        <v>4943.6106</v>
      </c>
      <c r="E60" s="31" t="n">
        <v>5001.354</v>
      </c>
      <c r="F60" s="31" t="n">
        <v>978.2581300000001</v>
      </c>
      <c r="G60" s="31">
        <f>E60+F60</f>
        <v/>
      </c>
      <c r="H60" s="29">
        <f>SUM(D60:F60)</f>
        <v/>
      </c>
      <c r="I60" s="31" t="n">
        <v>9480.236052</v>
      </c>
      <c r="J60" s="32" t="n"/>
    </row>
    <row r="61">
      <c r="A61" s="21" t="inlineStr">
        <is>
          <t>2018/19</t>
        </is>
      </c>
      <c r="B61" s="28" t="n">
        <v>43709</v>
      </c>
      <c r="C61" s="28" t="inlineStr">
        <is>
          <t>Sep</t>
        </is>
      </c>
      <c r="D61" s="29" t="n">
        <v>3912.1449</v>
      </c>
      <c r="E61" s="31" t="n">
        <v>4603.696</v>
      </c>
      <c r="F61" s="31" t="n">
        <v>1600.696737</v>
      </c>
      <c r="G61" s="31">
        <f>E61+F61</f>
        <v/>
      </c>
      <c r="H61" s="29">
        <f>SUM(D61:F61)</f>
        <v/>
      </c>
      <c r="I61" s="31" t="n">
        <v>8194.793798000001</v>
      </c>
      <c r="J61" s="32" t="n"/>
    </row>
    <row r="62">
      <c r="A62" s="21" t="inlineStr">
        <is>
          <t>2019/20</t>
        </is>
      </c>
      <c r="B62" s="28" t="n">
        <v>43739</v>
      </c>
      <c r="C62" s="28" t="inlineStr">
        <is>
          <t>Oct</t>
        </is>
      </c>
      <c r="D62" s="29" t="n">
        <v>5894.0892</v>
      </c>
      <c r="E62" s="31" t="n">
        <v>5076.169</v>
      </c>
      <c r="F62" s="31" t="n">
        <v>1553.79434</v>
      </c>
      <c r="G62" s="31">
        <f>E62+F62</f>
        <v/>
      </c>
      <c r="H62" s="29">
        <f>SUM(D62:F62)</f>
        <v/>
      </c>
      <c r="I62" s="31" t="n">
        <v>6181.022864</v>
      </c>
      <c r="J62" s="32" t="n"/>
    </row>
    <row r="63">
      <c r="A63" s="21" t="inlineStr">
        <is>
          <t>2019/20</t>
        </is>
      </c>
      <c r="B63" s="28" t="n">
        <v>43770</v>
      </c>
      <c r="C63" s="28" t="inlineStr">
        <is>
          <t>Nov</t>
        </is>
      </c>
      <c r="D63" s="29" t="n">
        <v>6834.2643</v>
      </c>
      <c r="E63" s="31" t="n">
        <v>4940.029</v>
      </c>
      <c r="F63" s="31" t="n">
        <v>1412.835675</v>
      </c>
      <c r="G63" s="31">
        <f>E63+F63</f>
        <v/>
      </c>
      <c r="H63" s="29">
        <f>SUM(D63:F63)</f>
        <v/>
      </c>
      <c r="I63" s="31" t="n">
        <v>8281.135221</v>
      </c>
      <c r="J63" s="32" t="n"/>
    </row>
    <row r="64">
      <c r="A64" s="21" t="inlineStr">
        <is>
          <t>2019/20</t>
        </is>
      </c>
      <c r="B64" s="28" t="n">
        <v>43800</v>
      </c>
      <c r="C64" s="28" t="inlineStr">
        <is>
          <t>Dec</t>
        </is>
      </c>
      <c r="D64" s="29" t="n">
        <v>5669.9891</v>
      </c>
      <c r="E64" s="31" t="n">
        <v>3269.187</v>
      </c>
      <c r="F64" s="31" t="n">
        <v>413.73878</v>
      </c>
      <c r="G64" s="31">
        <f>E64+F64</f>
        <v/>
      </c>
      <c r="H64" s="29">
        <f>SUM(D64:F64)</f>
        <v/>
      </c>
      <c r="I64" s="31" t="n">
        <v>9542.301255</v>
      </c>
      <c r="J64" s="32" t="n"/>
    </row>
    <row r="65">
      <c r="A65" s="21" t="inlineStr">
        <is>
          <t>2019/20</t>
        </is>
      </c>
      <c r="B65" s="28" t="n">
        <v>43831</v>
      </c>
      <c r="C65" s="28" t="inlineStr">
        <is>
          <t>Jan</t>
        </is>
      </c>
      <c r="D65" s="29" t="n">
        <v>5182.3667</v>
      </c>
      <c r="E65" s="31" t="n">
        <v>1396.96</v>
      </c>
      <c r="F65" s="31" t="n">
        <v>158.04571</v>
      </c>
      <c r="G65" s="31">
        <f>E65+F65</f>
        <v/>
      </c>
      <c r="H65" s="29">
        <f>SUM(D65:F65)</f>
        <v/>
      </c>
      <c r="I65" s="31" t="n">
        <v>8008.414558</v>
      </c>
      <c r="J65" s="32" t="n"/>
    </row>
    <row r="66">
      <c r="A66" s="21" t="inlineStr">
        <is>
          <t>2019/20</t>
        </is>
      </c>
      <c r="B66" s="28" t="n">
        <v>43862</v>
      </c>
      <c r="C66" s="28" t="inlineStr">
        <is>
          <t>Feb</t>
        </is>
      </c>
      <c r="D66" s="29" t="n">
        <v>2930.6908</v>
      </c>
      <c r="E66" s="31" t="n">
        <v>4834.061</v>
      </c>
      <c r="F66" s="31" t="n">
        <v>21.332252</v>
      </c>
      <c r="G66" s="31">
        <f>E66+F66</f>
        <v/>
      </c>
      <c r="H66" s="29">
        <f>SUM(D66:F66)</f>
        <v/>
      </c>
      <c r="I66" s="31" t="n">
        <v>5504.344492</v>
      </c>
      <c r="J66" s="32" t="n"/>
    </row>
    <row r="67">
      <c r="A67" s="21" t="inlineStr">
        <is>
          <t>2019/20</t>
        </is>
      </c>
      <c r="B67" s="28" t="n">
        <v>43891</v>
      </c>
      <c r="C67" s="28" t="inlineStr">
        <is>
          <t>Mar</t>
        </is>
      </c>
      <c r="D67" s="29" t="n">
        <v>2475.2679</v>
      </c>
      <c r="E67" s="31" t="n">
        <v>10853.99</v>
      </c>
      <c r="F67" s="31" t="n">
        <v>14.69779</v>
      </c>
      <c r="G67" s="31">
        <f>E67+F67</f>
        <v/>
      </c>
      <c r="H67" s="29">
        <f>SUM(D67:F67)</f>
        <v/>
      </c>
      <c r="I67" s="31" t="n">
        <v>4277.932747</v>
      </c>
      <c r="J67" s="32" t="n"/>
    </row>
    <row r="68">
      <c r="A68" s="21" t="inlineStr">
        <is>
          <t>2019/20</t>
        </is>
      </c>
      <c r="B68" s="28" t="n">
        <v>43922</v>
      </c>
      <c r="C68" s="28" t="inlineStr">
        <is>
          <t>Apr</t>
        </is>
      </c>
      <c r="D68" s="29" t="n">
        <v>2222.2243</v>
      </c>
      <c r="E68" s="31" t="n">
        <v>14855.315</v>
      </c>
      <c r="F68" s="31" t="n">
        <v>689.553746</v>
      </c>
      <c r="G68" s="31">
        <f>E68+F68</f>
        <v/>
      </c>
      <c r="H68" s="29">
        <f>SUM(D68:F68)</f>
        <v/>
      </c>
      <c r="I68" s="31" t="n">
        <v>6715.019155</v>
      </c>
      <c r="J68" s="32" t="n"/>
    </row>
    <row r="69">
      <c r="A69" s="21" t="inlineStr">
        <is>
          <t>2019/20</t>
        </is>
      </c>
      <c r="B69" s="28" t="n">
        <v>43952</v>
      </c>
      <c r="C69" s="28" t="inlineStr">
        <is>
          <t>May</t>
        </is>
      </c>
      <c r="D69" s="29" t="n">
        <v>1929.4571</v>
      </c>
      <c r="E69" s="31" t="n">
        <v>14108.753</v>
      </c>
      <c r="F69" s="31" t="n">
        <v>2173.488286</v>
      </c>
      <c r="G69" s="31">
        <f>E69+F69</f>
        <v/>
      </c>
      <c r="H69" s="29">
        <f>SUM(D69:F69)</f>
        <v/>
      </c>
      <c r="I69" s="31" t="n">
        <v>9376.720066</v>
      </c>
      <c r="J69" s="32" t="n"/>
    </row>
    <row r="70">
      <c r="A70" s="21" t="inlineStr">
        <is>
          <t>2019/20</t>
        </is>
      </c>
      <c r="B70" s="28" t="n">
        <v>43983</v>
      </c>
      <c r="C70" s="28" t="inlineStr">
        <is>
          <t>Jun</t>
        </is>
      </c>
      <c r="D70" s="29" t="n">
        <v>1779.9789</v>
      </c>
      <c r="E70" s="31" t="n">
        <v>12741.829</v>
      </c>
      <c r="F70" s="31" t="n">
        <v>1329.833483</v>
      </c>
      <c r="G70" s="31">
        <f>E70+F70</f>
        <v/>
      </c>
      <c r="H70" s="29">
        <f>SUM(D70:F70)</f>
        <v/>
      </c>
      <c r="I70" s="31" t="n">
        <v>11159.078062</v>
      </c>
      <c r="J70" s="32" t="n"/>
    </row>
    <row r="71">
      <c r="A71" s="21" t="inlineStr">
        <is>
          <t>2019/20</t>
        </is>
      </c>
      <c r="B71" s="28" t="n">
        <v>44013</v>
      </c>
      <c r="C71" s="28" t="inlineStr">
        <is>
          <t>Jul</t>
        </is>
      </c>
      <c r="D71" s="29" t="n">
        <v>2305.1202</v>
      </c>
      <c r="E71" s="31" t="n">
        <v>9954.755999999999</v>
      </c>
      <c r="F71" s="31" t="n">
        <v>1060.795546</v>
      </c>
      <c r="G71" s="31">
        <f>E71+F71</f>
        <v/>
      </c>
      <c r="H71" s="29">
        <f>SUM(D71:F71)</f>
        <v/>
      </c>
      <c r="I71" s="31" t="n">
        <v>10092.972884</v>
      </c>
      <c r="J71" s="32" t="n"/>
    </row>
    <row r="72">
      <c r="A72" s="21" t="inlineStr">
        <is>
          <t>2019/20</t>
        </is>
      </c>
      <c r="B72" s="28" t="n">
        <v>44044</v>
      </c>
      <c r="C72" s="28" t="inlineStr">
        <is>
          <t>Aug</t>
        </is>
      </c>
      <c r="D72" s="29" t="n">
        <v>4664.763099999999</v>
      </c>
      <c r="E72" s="31" t="n">
        <v>5833.069</v>
      </c>
      <c r="F72" s="31" t="n">
        <v>984.558356</v>
      </c>
      <c r="G72" s="31">
        <f>E72+F72</f>
        <v/>
      </c>
      <c r="H72" s="29">
        <f>SUM(D72:F72)</f>
        <v/>
      </c>
      <c r="I72" s="31" t="n">
        <v>9604.938942999999</v>
      </c>
      <c r="J72" s="32" t="n"/>
    </row>
    <row r="73">
      <c r="A73" s="21" t="inlineStr">
        <is>
          <t>2019/20</t>
        </is>
      </c>
      <c r="B73" s="28" t="n">
        <v>44075</v>
      </c>
      <c r="C73" s="28" t="inlineStr">
        <is>
          <t>Sep</t>
        </is>
      </c>
      <c r="D73" s="29" t="n">
        <v>7192.128400000001</v>
      </c>
      <c r="E73" s="31" t="n">
        <v>4258.969</v>
      </c>
      <c r="F73" s="31" t="n">
        <v>170.458406</v>
      </c>
      <c r="G73" s="31">
        <f>E73+F73</f>
        <v/>
      </c>
      <c r="H73" s="29">
        <f>SUM(D73:F73)</f>
        <v/>
      </c>
      <c r="I73" s="31" t="n">
        <v>9788.532294000001</v>
      </c>
      <c r="J73" s="32" t="n"/>
    </row>
    <row r="74">
      <c r="A74" s="21" t="inlineStr">
        <is>
          <t>2020/21</t>
        </is>
      </c>
      <c r="B74" s="28" t="n">
        <v>44105</v>
      </c>
      <c r="C74" s="28" t="inlineStr">
        <is>
          <t>Oct</t>
        </is>
      </c>
      <c r="D74" s="29" t="n">
        <v>11588.9954</v>
      </c>
      <c r="E74" s="30" t="n">
        <v>2421.964</v>
      </c>
      <c r="F74" s="30" t="n">
        <v>161.713035</v>
      </c>
      <c r="G74" s="31">
        <f>E74+F74</f>
        <v/>
      </c>
      <c r="H74" s="29">
        <f>SUM(D74:F74)</f>
        <v/>
      </c>
      <c r="I74" s="38" t="n">
        <v>8678.732298999999</v>
      </c>
      <c r="J74" s="32" t="n"/>
    </row>
    <row r="75">
      <c r="A75" s="21" t="inlineStr">
        <is>
          <t>2020/21</t>
        </is>
      </c>
      <c r="B75" s="28" t="n">
        <v>44136</v>
      </c>
      <c r="C75" s="28" t="inlineStr">
        <is>
          <t>Nov</t>
        </is>
      </c>
      <c r="D75" s="29" t="n">
        <v>10861.9586</v>
      </c>
      <c r="E75" s="30" t="n">
        <v>1435.278</v>
      </c>
      <c r="F75" s="30" t="n">
        <v>18.61729</v>
      </c>
      <c r="G75" s="31">
        <f>E75+F75</f>
        <v/>
      </c>
      <c r="H75" s="29">
        <f>SUM(D75:F75)</f>
        <v/>
      </c>
      <c r="I75" s="38" t="n">
        <v>9585.124615000001</v>
      </c>
      <c r="J75" s="32" t="n"/>
    </row>
    <row r="76">
      <c r="A76" s="21" t="inlineStr">
        <is>
          <t>2020/21</t>
        </is>
      </c>
      <c r="B76" s="28" t="n">
        <v>44166</v>
      </c>
      <c r="C76" s="28" t="inlineStr">
        <is>
          <t>Dec</t>
        </is>
      </c>
      <c r="D76" s="29" t="n">
        <v>10517.3165</v>
      </c>
      <c r="E76" s="30" t="n">
        <v>274.053</v>
      </c>
      <c r="F76" s="30" t="n">
        <v>12.64034</v>
      </c>
      <c r="G76" s="31">
        <f>E76+F76</f>
        <v/>
      </c>
      <c r="H76" s="29">
        <f>SUM(D76:F76)</f>
        <v/>
      </c>
      <c r="I76" s="38" t="n">
        <v>7522.701091</v>
      </c>
      <c r="J76" s="32" t="n"/>
    </row>
    <row r="77">
      <c r="A77" s="21" t="inlineStr">
        <is>
          <t>2020/21</t>
        </is>
      </c>
      <c r="B77" s="28" t="n">
        <v>44197</v>
      </c>
      <c r="C77" s="28" t="inlineStr">
        <is>
          <t>Jan</t>
        </is>
      </c>
      <c r="D77" s="29" t="n">
        <v>9030.505300000001</v>
      </c>
      <c r="E77" s="30" t="n">
        <v>49.494</v>
      </c>
      <c r="F77" s="30" t="n">
        <v>11.10724</v>
      </c>
      <c r="G77" s="31">
        <f>E77+F77</f>
        <v/>
      </c>
      <c r="H77" s="29">
        <f>SUM(D77:F77)</f>
        <v/>
      </c>
      <c r="I77" s="38" t="n">
        <v>7826.221302</v>
      </c>
      <c r="J77" s="32" t="n"/>
    </row>
    <row r="78">
      <c r="A78" s="21" t="inlineStr">
        <is>
          <t>2020/21</t>
        </is>
      </c>
      <c r="B78" s="28" t="n">
        <v>44228</v>
      </c>
      <c r="C78" s="28" t="inlineStr">
        <is>
          <t>Feb</t>
        </is>
      </c>
      <c r="D78" s="29" t="n">
        <v>4481.2441</v>
      </c>
      <c r="E78" s="30" t="n">
        <v>2645.669</v>
      </c>
      <c r="F78" s="30" t="n">
        <v>11.05199</v>
      </c>
      <c r="G78" s="31">
        <f>E78+F78</f>
        <v/>
      </c>
      <c r="H78" s="29">
        <f>SUM(D78:F78)</f>
        <v/>
      </c>
      <c r="I78" s="38" t="n">
        <v>5535.622223</v>
      </c>
      <c r="J78" s="32" t="n"/>
    </row>
    <row r="79">
      <c r="A79" s="21" t="inlineStr">
        <is>
          <t>2020/21</t>
        </is>
      </c>
      <c r="B79" s="28" t="n">
        <v>44256</v>
      </c>
      <c r="C79" s="28" t="inlineStr">
        <is>
          <t>Mar</t>
        </is>
      </c>
      <c r="D79" s="29" t="n">
        <v>2263.5888</v>
      </c>
      <c r="E79" s="30" t="n">
        <v>12694.341</v>
      </c>
      <c r="F79" s="30" t="n">
        <v>15.68027</v>
      </c>
      <c r="G79" s="31">
        <f>E79+F79</f>
        <v/>
      </c>
      <c r="H79" s="29">
        <f>SUM(D79:F79)</f>
        <v/>
      </c>
      <c r="I79" s="38" t="n">
        <v>7711.144646</v>
      </c>
      <c r="J79" s="32" t="n"/>
    </row>
    <row r="80">
      <c r="A80" s="21" t="inlineStr">
        <is>
          <t>2020/21</t>
        </is>
      </c>
      <c r="B80" s="28" t="n">
        <v>44287</v>
      </c>
      <c r="C80" s="28" t="inlineStr">
        <is>
          <t>Apr</t>
        </is>
      </c>
      <c r="D80" s="29" t="n">
        <v>1357.1922</v>
      </c>
      <c r="E80" s="30" t="n">
        <v>16115.651</v>
      </c>
      <c r="F80" s="30" t="n">
        <v>441.35638</v>
      </c>
      <c r="G80" s="31">
        <f>E80+F80</f>
        <v/>
      </c>
      <c r="H80" s="29">
        <f>SUM(D80:F80)</f>
        <v/>
      </c>
      <c r="I80" s="38" t="n">
        <v>7446.62198</v>
      </c>
      <c r="J80" s="32" t="n"/>
    </row>
    <row r="81">
      <c r="A81" s="21" t="inlineStr">
        <is>
          <t>2020/21</t>
        </is>
      </c>
      <c r="B81" s="28" t="n">
        <v>44317</v>
      </c>
      <c r="C81" s="28" t="inlineStr">
        <is>
          <t>May</t>
        </is>
      </c>
      <c r="D81" s="29" t="n">
        <v>1338.409</v>
      </c>
      <c r="E81" s="30" t="n">
        <v>14964.339</v>
      </c>
      <c r="F81" s="30" t="n">
        <v>883.365936</v>
      </c>
      <c r="G81" s="31">
        <f>E81+F81</f>
        <v/>
      </c>
      <c r="H81" s="29">
        <f>SUM(D81:F81)</f>
        <v/>
      </c>
      <c r="I81" s="38" t="n">
        <v>9607.453747</v>
      </c>
      <c r="J81" s="32" t="n"/>
    </row>
    <row r="82">
      <c r="A82" s="21" t="inlineStr">
        <is>
          <t>2020/21</t>
        </is>
      </c>
      <c r="B82" s="28" t="n">
        <v>44348</v>
      </c>
      <c r="C82" s="28" t="inlineStr">
        <is>
          <t>Jun</t>
        </is>
      </c>
      <c r="D82" s="29" t="n">
        <v>924.7295</v>
      </c>
      <c r="E82" s="30" t="n">
        <v>11067.263</v>
      </c>
      <c r="F82" s="30" t="n">
        <v>516.1844050000001</v>
      </c>
      <c r="G82" s="31">
        <f>E82+F82</f>
        <v/>
      </c>
      <c r="H82" s="29">
        <f>SUM(D82:F82)</f>
        <v/>
      </c>
      <c r="I82" s="38" t="n">
        <v>10661.694409</v>
      </c>
      <c r="J82" s="32" t="n"/>
    </row>
    <row r="83">
      <c r="A83" s="21" t="inlineStr">
        <is>
          <t>2020/21</t>
        </is>
      </c>
      <c r="B83" s="28" t="n">
        <v>44378</v>
      </c>
      <c r="C83" s="28" t="inlineStr">
        <is>
          <t>Jul</t>
        </is>
      </c>
      <c r="D83" s="29" t="n">
        <v>947.7742</v>
      </c>
      <c r="E83" s="30" t="n">
        <v>8668.624</v>
      </c>
      <c r="F83" s="30" t="n">
        <v>796.6468599999999</v>
      </c>
      <c r="G83" s="31">
        <f>E83+F83</f>
        <v/>
      </c>
      <c r="H83" s="29">
        <f>SUM(D83:F83)</f>
        <v/>
      </c>
      <c r="I83" s="38" t="n">
        <v>8672.364118</v>
      </c>
      <c r="J83" s="32" t="n"/>
    </row>
    <row r="84">
      <c r="A84" s="21" t="inlineStr">
        <is>
          <t>2020/21</t>
        </is>
      </c>
      <c r="B84" s="28" t="n">
        <v>44409</v>
      </c>
      <c r="C84" s="28" t="inlineStr">
        <is>
          <t>Aug</t>
        </is>
      </c>
      <c r="D84" s="29" t="n">
        <v>1160.0917</v>
      </c>
      <c r="E84" s="30" t="n">
        <v>6480.251</v>
      </c>
      <c r="F84" s="30" t="n">
        <v>1465.97681</v>
      </c>
      <c r="G84" s="31">
        <f>E84+F84</f>
        <v/>
      </c>
      <c r="H84" s="29">
        <f>SUM(D84:F84)</f>
        <v/>
      </c>
      <c r="I84" s="38" t="n">
        <v>9463.786432000001</v>
      </c>
      <c r="J84" s="32" t="n"/>
    </row>
    <row r="85">
      <c r="A85" s="21" t="inlineStr">
        <is>
          <t>2020/21</t>
        </is>
      </c>
      <c r="B85" s="28" t="n">
        <v>44440</v>
      </c>
      <c r="C85" s="28" t="inlineStr">
        <is>
          <t>Sep</t>
        </is>
      </c>
      <c r="D85" s="29" t="n">
        <v>2099.0656</v>
      </c>
      <c r="E85" s="30" t="n">
        <v>4822.44</v>
      </c>
      <c r="F85" s="30" t="n">
        <v>833.14237</v>
      </c>
      <c r="G85" s="31">
        <f>E85+F85</f>
        <v/>
      </c>
      <c r="H85" s="29">
        <f>SUM(D85:F85)</f>
        <v/>
      </c>
      <c r="I85" s="38" t="n">
        <v>6876.225462</v>
      </c>
      <c r="J85" s="32" t="n"/>
    </row>
    <row r="86">
      <c r="A86" s="21" t="inlineStr">
        <is>
          <t>2021/22</t>
        </is>
      </c>
      <c r="B86" s="28" t="n">
        <v>44470</v>
      </c>
      <c r="C86" s="28" t="inlineStr">
        <is>
          <t>Oct</t>
        </is>
      </c>
      <c r="D86" s="29" t="n">
        <v>10694.8117</v>
      </c>
      <c r="E86" s="30" t="n">
        <v>3292.652</v>
      </c>
      <c r="F86" s="30" t="n">
        <v>355.63409</v>
      </c>
      <c r="G86" s="31">
        <f>E86+F86</f>
        <v/>
      </c>
      <c r="H86" s="29">
        <f>SUM(D86:F86)</f>
        <v/>
      </c>
      <c r="I86" s="38" t="n">
        <v>5107.788006</v>
      </c>
      <c r="J86" s="32" t="n"/>
    </row>
    <row r="87">
      <c r="A87" s="21" t="inlineStr">
        <is>
          <t>2021/22</t>
        </is>
      </c>
      <c r="B87" s="28" t="n">
        <v>44501</v>
      </c>
      <c r="C87" s="28" t="inlineStr">
        <is>
          <t>Nov</t>
        </is>
      </c>
      <c r="D87" s="29" t="n">
        <v>10679.4567</v>
      </c>
      <c r="E87" s="30" t="n">
        <v>2586.798</v>
      </c>
      <c r="F87" s="30" t="n">
        <v>32.33601</v>
      </c>
      <c r="G87" s="31">
        <f>E87+F87</f>
        <v/>
      </c>
      <c r="H87" s="29">
        <f>SUM(D87:F87)</f>
        <v/>
      </c>
      <c r="I87" s="38" t="n">
        <v>8238.220056</v>
      </c>
      <c r="J87" s="32" t="n"/>
    </row>
    <row r="88">
      <c r="A88" s="21" t="inlineStr">
        <is>
          <t>2021/22</t>
        </is>
      </c>
      <c r="B88" s="28" t="n">
        <v>44531</v>
      </c>
      <c r="C88" s="28" t="inlineStr">
        <is>
          <t>Dec</t>
        </is>
      </c>
      <c r="D88" s="29" t="n">
        <v>7936.612700000001</v>
      </c>
      <c r="E88" s="30" t="n">
        <v>2714.564</v>
      </c>
      <c r="F88" s="30" t="n">
        <v>6.958582000000001</v>
      </c>
      <c r="G88" s="31">
        <f>E88+F88</f>
        <v/>
      </c>
      <c r="H88" s="29">
        <f>SUM(D88:F88)</f>
        <v/>
      </c>
      <c r="I88" s="38" t="n">
        <v>8578.339626000001</v>
      </c>
      <c r="J88" s="32" t="n"/>
    </row>
    <row r="89">
      <c r="A89" s="21" t="inlineStr">
        <is>
          <t>2021/22</t>
        </is>
      </c>
      <c r="B89" s="28" t="n">
        <v>44562</v>
      </c>
      <c r="C89" s="28" t="inlineStr">
        <is>
          <t>Jan</t>
        </is>
      </c>
      <c r="D89" s="29" t="n">
        <v>6529.2708</v>
      </c>
      <c r="E89" s="30" t="n">
        <v>2451.825</v>
      </c>
      <c r="F89" s="30" t="n">
        <v>4.26405</v>
      </c>
      <c r="G89" s="31">
        <f>E89+F89</f>
        <v/>
      </c>
      <c r="H89" s="29">
        <f>SUM(D89:F89)</f>
        <v/>
      </c>
      <c r="I89" s="38" t="n">
        <v>8713.229010999999</v>
      </c>
      <c r="J89" s="32" t="n"/>
    </row>
    <row r="90">
      <c r="A90" s="21" t="inlineStr">
        <is>
          <t>2021/22</t>
        </is>
      </c>
      <c r="B90" s="28" t="n">
        <v>44593</v>
      </c>
      <c r="C90" s="28" t="inlineStr">
        <is>
          <t>Feb</t>
        </is>
      </c>
      <c r="D90" s="29" t="n">
        <v>3809.0001</v>
      </c>
      <c r="E90" s="30" t="n">
        <v>6271.405</v>
      </c>
      <c r="F90" s="30" t="n">
        <v>5.786688</v>
      </c>
      <c r="G90" s="31">
        <f>E90+F90</f>
        <v/>
      </c>
      <c r="H90" s="29">
        <f>SUM(D90:F90)</f>
        <v/>
      </c>
      <c r="I90" s="38" t="n">
        <v>4567.803442</v>
      </c>
      <c r="J90" s="32" t="n"/>
    </row>
    <row r="91">
      <c r="A91" s="21" t="inlineStr">
        <is>
          <t>2021/22</t>
        </is>
      </c>
      <c r="B91" s="28" t="n">
        <v>44621</v>
      </c>
      <c r="C91" s="28" t="inlineStr">
        <is>
          <t>Mar</t>
        </is>
      </c>
      <c r="D91" s="29" t="n">
        <v>3018.4285</v>
      </c>
      <c r="E91" s="30" t="n">
        <v>12189.435</v>
      </c>
      <c r="F91" s="30" t="n">
        <v>5.46879</v>
      </c>
      <c r="G91" s="31">
        <f>E91+F91</f>
        <v/>
      </c>
      <c r="H91" s="29">
        <f>SUM(D91:F91)</f>
        <v/>
      </c>
      <c r="I91" s="38" t="n">
        <v>5817.688188</v>
      </c>
      <c r="J91" s="32" t="n"/>
    </row>
    <row r="92">
      <c r="A92" s="21" t="inlineStr">
        <is>
          <t>2021/22</t>
        </is>
      </c>
      <c r="B92" s="28" t="n">
        <v>44652</v>
      </c>
      <c r="C92" s="28" t="inlineStr">
        <is>
          <t>Apr</t>
        </is>
      </c>
      <c r="D92" s="29" t="n">
        <v>3550.9904</v>
      </c>
      <c r="E92" s="30" t="n">
        <v>11473.992</v>
      </c>
      <c r="F92" s="30" t="n">
        <v>6.354229999999999</v>
      </c>
      <c r="G92" s="31">
        <f>E92+F92</f>
        <v/>
      </c>
      <c r="H92" s="29">
        <f>SUM(D92:F92)</f>
        <v/>
      </c>
      <c r="I92" s="38" t="n">
        <v>8067.219837</v>
      </c>
      <c r="J92" s="32" t="n"/>
    </row>
    <row r="93">
      <c r="A93" s="21" t="inlineStr">
        <is>
          <t>2021/22</t>
        </is>
      </c>
      <c r="B93" s="28" t="n">
        <v>44682</v>
      </c>
      <c r="C93" s="28" t="inlineStr">
        <is>
          <t>May</t>
        </is>
      </c>
      <c r="D93" s="29" t="n">
        <v>2448.8762</v>
      </c>
      <c r="E93" s="30" t="n">
        <v>10636.038</v>
      </c>
      <c r="F93" s="30" t="n">
        <v>217.90907</v>
      </c>
      <c r="G93" s="31">
        <f>E93+F93</f>
        <v/>
      </c>
      <c r="H93" s="29">
        <f>SUM(D93:F93)</f>
        <v/>
      </c>
      <c r="I93" s="38" t="n">
        <v>9673.27774</v>
      </c>
      <c r="J93" s="32" t="n"/>
    </row>
    <row r="94">
      <c r="A94" s="21" t="inlineStr">
        <is>
          <t>2021/22</t>
        </is>
      </c>
      <c r="B94" s="28" t="n">
        <v>44713</v>
      </c>
      <c r="C94" s="28" t="inlineStr">
        <is>
          <t>Jun</t>
        </is>
      </c>
      <c r="D94" s="29" t="n">
        <v>2256.761</v>
      </c>
      <c r="E94" s="30" t="n">
        <v>9989.473</v>
      </c>
      <c r="F94" s="30" t="n">
        <v>283.059615</v>
      </c>
      <c r="G94" s="31">
        <f>E94+F94</f>
        <v/>
      </c>
      <c r="H94" s="29">
        <f>SUM(D94:F94)</f>
        <v/>
      </c>
      <c r="I94" s="38" t="n">
        <v>8247.176966999999</v>
      </c>
      <c r="J94" s="32" t="n"/>
    </row>
    <row r="95">
      <c r="A95" s="21" t="inlineStr">
        <is>
          <t>2021/22</t>
        </is>
      </c>
      <c r="B95" s="28" t="n">
        <v>44743</v>
      </c>
      <c r="C95" s="28" t="inlineStr">
        <is>
          <t>Jul</t>
        </is>
      </c>
      <c r="D95" s="29" t="n">
        <v>2315.5817</v>
      </c>
      <c r="E95" s="30" t="n">
        <v>7508.524</v>
      </c>
      <c r="F95" s="30" t="n">
        <v>431.765935</v>
      </c>
      <c r="G95" s="31">
        <f>E95+F95</f>
        <v/>
      </c>
      <c r="H95" s="29">
        <f>SUM(D95:F95)</f>
        <v/>
      </c>
      <c r="I95" s="38" t="n">
        <v>7882.891165</v>
      </c>
      <c r="J95" s="32" t="n"/>
    </row>
    <row r="96">
      <c r="A96" s="21" t="inlineStr">
        <is>
          <t>2021/22</t>
        </is>
      </c>
      <c r="B96" s="28" t="n">
        <v>44774</v>
      </c>
      <c r="C96" s="28" t="inlineStr">
        <is>
          <t>Aug</t>
        </is>
      </c>
      <c r="D96" s="29" t="n">
        <v>3231.4558</v>
      </c>
      <c r="E96" s="30" t="n">
        <v>5943.371</v>
      </c>
      <c r="F96" s="30" t="n">
        <v>330.900325</v>
      </c>
      <c r="G96" s="31">
        <f>E96+F96</f>
        <v/>
      </c>
      <c r="H96" s="29">
        <f>SUM(D96:F96)</f>
        <v/>
      </c>
      <c r="I96" s="38" t="n">
        <v>7163.033201</v>
      </c>
      <c r="J96" s="32" t="n"/>
    </row>
    <row r="97">
      <c r="A97" s="21" t="inlineStr">
        <is>
          <t>2021/22</t>
        </is>
      </c>
      <c r="B97" s="28" t="n">
        <v>44805</v>
      </c>
      <c r="C97" s="28" t="inlineStr">
        <is>
          <t>Sep</t>
        </is>
      </c>
      <c r="D97" s="29" t="n">
        <v>2077.8373</v>
      </c>
      <c r="E97" s="30" t="n">
        <v>4000.572</v>
      </c>
      <c r="F97" s="30" t="n">
        <v>1163.945525</v>
      </c>
      <c r="G97" s="31">
        <f>E97+F97</f>
        <v/>
      </c>
      <c r="H97" s="29">
        <f>SUM(D97:F97)</f>
        <v/>
      </c>
      <c r="I97" s="38" t="n">
        <v>7647.17798</v>
      </c>
      <c r="J97" s="32" t="n"/>
    </row>
    <row r="98">
      <c r="A98" s="21" t="inlineStr">
        <is>
          <t>2022/23</t>
        </is>
      </c>
      <c r="B98" s="28" t="n">
        <v>44835</v>
      </c>
      <c r="C98" s="28" t="inlineStr">
        <is>
          <t>Oct</t>
        </is>
      </c>
      <c r="D98" s="29" t="n">
        <v>9946.8225</v>
      </c>
      <c r="E98" s="30" t="n">
        <v>3797.793</v>
      </c>
      <c r="F98" s="30" t="n">
        <v>2117.749453</v>
      </c>
      <c r="G98" s="31">
        <f>E98+F98</f>
        <v/>
      </c>
      <c r="H98" s="29">
        <f>SUM(D98:F98)</f>
        <v/>
      </c>
      <c r="I98" s="38" t="n">
        <v>4120.1982</v>
      </c>
      <c r="J98" s="32" t="n"/>
    </row>
    <row r="99">
      <c r="A99" s="21" t="inlineStr">
        <is>
          <t>2022/23</t>
        </is>
      </c>
      <c r="B99" s="28" t="n">
        <v>44866</v>
      </c>
      <c r="C99" s="28" t="inlineStr">
        <is>
          <t>Nov</t>
        </is>
      </c>
      <c r="D99" s="29" t="n">
        <v>9751.848400000001</v>
      </c>
      <c r="E99" s="30" t="n">
        <v>2524.601</v>
      </c>
      <c r="F99" s="30" t="n">
        <v>890.762395</v>
      </c>
      <c r="G99" s="31">
        <f>E99+F99</f>
        <v/>
      </c>
      <c r="H99" s="29">
        <f>SUM(D99:F99)</f>
        <v/>
      </c>
      <c r="I99" s="38" t="n">
        <v>7211.635255</v>
      </c>
      <c r="J99" s="32" t="n"/>
    </row>
    <row r="100">
      <c r="A100" s="21" t="inlineStr">
        <is>
          <t>2022/23</t>
        </is>
      </c>
      <c r="B100" s="28" t="n">
        <v>44896</v>
      </c>
      <c r="C100" s="28" t="inlineStr">
        <is>
          <t>Dec</t>
        </is>
      </c>
      <c r="D100" s="29" t="n">
        <v>7961.4861</v>
      </c>
      <c r="E100" s="30" t="n">
        <v>1951.702</v>
      </c>
      <c r="F100" s="30" t="n">
        <v>47.75165</v>
      </c>
      <c r="G100" s="31">
        <f>E100+F100</f>
        <v/>
      </c>
      <c r="H100" s="29">
        <f>SUM(D100:F100)</f>
        <v/>
      </c>
      <c r="I100" s="38" t="n">
        <v>10106.367469</v>
      </c>
      <c r="J100" s="32" t="n"/>
    </row>
    <row r="101">
      <c r="A101" s="21" t="inlineStr">
        <is>
          <t>2022/23</t>
        </is>
      </c>
      <c r="B101" s="28" t="n">
        <v>44927</v>
      </c>
      <c r="C101" s="28" t="inlineStr">
        <is>
          <t>Jan</t>
        </is>
      </c>
      <c r="D101" s="29" t="n">
        <v>8245.8158</v>
      </c>
      <c r="E101" s="30" t="n">
        <v>839.585</v>
      </c>
      <c r="F101" s="30" t="n">
        <v>1.52476</v>
      </c>
      <c r="G101" s="31">
        <f>E101+F101</f>
        <v/>
      </c>
      <c r="H101" s="29">
        <f>SUM(D101:F101)</f>
        <v/>
      </c>
      <c r="I101" s="38" t="n">
        <v>8002.462075</v>
      </c>
      <c r="J101" s="32" t="n"/>
    </row>
    <row r="102">
      <c r="A102" s="21" t="inlineStr">
        <is>
          <t>2022/23</t>
        </is>
      </c>
      <c r="B102" s="28" t="n">
        <v>44958</v>
      </c>
      <c r="C102" s="28" t="inlineStr">
        <is>
          <t>Feb</t>
        </is>
      </c>
      <c r="D102" s="29" t="n">
        <v>5470.5517</v>
      </c>
      <c r="E102" s="30" t="n">
        <v>5017.83</v>
      </c>
      <c r="F102" s="30" t="n">
        <v>39.842</v>
      </c>
      <c r="G102" s="31">
        <f>E102+F102</f>
        <v/>
      </c>
      <c r="H102" s="29">
        <f>SUM(D102:F102)</f>
        <v/>
      </c>
      <c r="I102" s="38" t="n">
        <v>6275.558939</v>
      </c>
      <c r="J102" s="32" t="n"/>
    </row>
    <row r="103">
      <c r="A103" s="21" t="inlineStr">
        <is>
          <t>2022/23</t>
        </is>
      </c>
      <c r="B103" s="28" t="n">
        <v>44986</v>
      </c>
      <c r="C103" s="28" t="inlineStr">
        <is>
          <t>Mar</t>
        </is>
      </c>
      <c r="D103" s="29" t="n">
        <v>3094.4841</v>
      </c>
      <c r="E103" s="30" t="n">
        <v>13243.776</v>
      </c>
      <c r="F103" s="30" t="n">
        <v>3.98354</v>
      </c>
      <c r="G103" s="31">
        <f>E103+F103</f>
        <v/>
      </c>
      <c r="H103" s="29">
        <f>SUM(D103:F103)</f>
        <v/>
      </c>
      <c r="I103" s="38" t="n">
        <v>6538.282148</v>
      </c>
      <c r="J103" s="32" t="n"/>
    </row>
    <row r="104">
      <c r="A104" s="21" t="inlineStr">
        <is>
          <t>2022/23</t>
        </is>
      </c>
      <c r="B104" s="28" t="n">
        <v>45017</v>
      </c>
      <c r="C104" s="28" t="inlineStr">
        <is>
          <t>Apr</t>
        </is>
      </c>
      <c r="D104" s="29" t="n">
        <v>2512.5841</v>
      </c>
      <c r="E104" s="30" t="n">
        <v>14334.476</v>
      </c>
      <c r="F104" s="30" t="n">
        <v>4.4393</v>
      </c>
      <c r="G104" s="31">
        <f>E104+F104</f>
        <v/>
      </c>
      <c r="H104" s="29">
        <f>SUM(D104:F104)</f>
        <v/>
      </c>
      <c r="I104" s="38" t="n">
        <v>7129.919367</v>
      </c>
      <c r="J104" s="32" t="n"/>
    </row>
    <row r="105">
      <c r="A105" s="21" t="inlineStr">
        <is>
          <t>2022/23</t>
        </is>
      </c>
      <c r="B105" s="28" t="n">
        <v>45047</v>
      </c>
      <c r="C105" s="28" t="inlineStr">
        <is>
          <t>May</t>
        </is>
      </c>
      <c r="D105" s="29" t="n">
        <v>996.7679000000001</v>
      </c>
      <c r="E105" s="30" t="n">
        <v>15584.216</v>
      </c>
      <c r="F105" s="30" t="n">
        <v>556.13115</v>
      </c>
      <c r="G105" s="31">
        <f>E105+F105</f>
        <v/>
      </c>
      <c r="H105" s="29">
        <f>SUM(D105:F105)</f>
        <v/>
      </c>
      <c r="I105" s="38" t="n">
        <v>11566.727485</v>
      </c>
      <c r="J105" s="32" t="n"/>
    </row>
    <row r="106">
      <c r="A106" s="21" t="inlineStr">
        <is>
          <t>2022/23</t>
        </is>
      </c>
      <c r="B106" s="28" t="n">
        <v>45078</v>
      </c>
      <c r="C106" s="28" t="inlineStr">
        <is>
          <t>Jun</t>
        </is>
      </c>
      <c r="D106" s="29" t="n">
        <v>823.6224999999999</v>
      </c>
      <c r="E106" s="30" t="n">
        <v>13745.875</v>
      </c>
      <c r="F106" s="30" t="n">
        <v>181.6737</v>
      </c>
      <c r="G106" s="31">
        <f>E106+F106</f>
        <v/>
      </c>
      <c r="H106" s="29">
        <f>SUM(D106:F106)</f>
        <v/>
      </c>
      <c r="I106" s="38" t="n">
        <v>10035.592931</v>
      </c>
      <c r="J106" s="32" t="n"/>
    </row>
    <row r="107">
      <c r="A107" s="21" t="inlineStr">
        <is>
          <t>2022/23</t>
        </is>
      </c>
      <c r="B107" s="28" t="n">
        <v>45108</v>
      </c>
      <c r="C107" s="28" t="inlineStr">
        <is>
          <t>Jul</t>
        </is>
      </c>
      <c r="D107" s="29" t="n">
        <v>1276.9673</v>
      </c>
      <c r="E107" s="30" t="n">
        <v>9696.904</v>
      </c>
      <c r="F107" s="30" t="n">
        <v>40.17066000000001</v>
      </c>
      <c r="G107" s="31">
        <f>E107+F107</f>
        <v/>
      </c>
      <c r="H107" s="29">
        <f>SUM(D107:F107)</f>
        <v/>
      </c>
      <c r="I107" s="38" t="n">
        <v>9648.601479999999</v>
      </c>
      <c r="J107" s="32" t="n"/>
    </row>
    <row r="108">
      <c r="A108" s="21" t="inlineStr">
        <is>
          <t>2022/23</t>
        </is>
      </c>
      <c r="B108" s="28" t="n">
        <v>45139</v>
      </c>
      <c r="C108" s="28" t="inlineStr">
        <is>
          <t>Aug</t>
        </is>
      </c>
      <c r="D108" s="29" t="n">
        <v>1704.7885</v>
      </c>
      <c r="E108" s="30" t="n">
        <v>8387.898999999999</v>
      </c>
      <c r="F108" s="30" t="n">
        <v>82.3815</v>
      </c>
      <c r="G108" s="31">
        <f>E108+F108</f>
        <v/>
      </c>
      <c r="H108" s="29">
        <f>SUM(D108:F108)</f>
        <v/>
      </c>
      <c r="I108" s="38" t="n">
        <v>9362.619244</v>
      </c>
      <c r="J108" s="32" t="n"/>
    </row>
    <row r="109">
      <c r="A109" s="21" t="inlineStr">
        <is>
          <t>2022/23</t>
        </is>
      </c>
      <c r="B109" s="28" t="n">
        <v>45170</v>
      </c>
      <c r="C109" s="28" t="inlineStr">
        <is>
          <t>Sep</t>
        </is>
      </c>
      <c r="D109" s="29" t="n">
        <v>2498.517</v>
      </c>
      <c r="E109" s="30" t="n">
        <v>6400.498</v>
      </c>
      <c r="F109" s="30" t="n">
        <v>200.401</v>
      </c>
      <c r="G109" s="31">
        <f>E109+F109</f>
        <v/>
      </c>
      <c r="H109" s="29">
        <f>SUM(D109:F109)</f>
        <v/>
      </c>
      <c r="I109" s="38" t="n">
        <v>7153.495435</v>
      </c>
      <c r="J109" s="32" t="n"/>
    </row>
    <row r="110">
      <c r="A110" s="21" t="inlineStr">
        <is>
          <t>2023/24</t>
        </is>
      </c>
      <c r="B110" s="28" t="n">
        <v>45200</v>
      </c>
      <c r="C110" s="28" t="inlineStr">
        <is>
          <t>Oct</t>
        </is>
      </c>
      <c r="D110" s="29" t="n">
        <v>9421.879999999999</v>
      </c>
      <c r="E110" s="30" t="n">
        <v>5606.091</v>
      </c>
      <c r="F110" s="30" t="n">
        <v>617.004727</v>
      </c>
      <c r="G110" s="31">
        <f>E110+F110</f>
        <v/>
      </c>
      <c r="H110" s="29">
        <f>SUM(D110:F110)</f>
        <v/>
      </c>
      <c r="I110" s="38" t="n">
        <v>5157.605909</v>
      </c>
      <c r="J110" s="32" t="n"/>
    </row>
    <row r="111">
      <c r="A111" s="21" t="inlineStr">
        <is>
          <t>2023/24</t>
        </is>
      </c>
      <c r="B111" s="28" t="n">
        <v>45231</v>
      </c>
      <c r="C111" s="28" t="inlineStr">
        <is>
          <t>Nov</t>
        </is>
      </c>
      <c r="D111" s="29" t="n">
        <v>7467.1163</v>
      </c>
      <c r="E111" s="30" t="n">
        <v>5201.136</v>
      </c>
      <c r="F111" s="30" t="n">
        <v>94.79093399999999</v>
      </c>
      <c r="G111" s="31">
        <f>E111+F111</f>
        <v/>
      </c>
      <c r="H111" s="29">
        <f>SUM(D111:F111)</f>
        <v/>
      </c>
      <c r="I111" s="38" t="n">
        <v>7917.647835</v>
      </c>
      <c r="J111" s="32" t="n"/>
    </row>
    <row r="112">
      <c r="A112" s="21" t="inlineStr">
        <is>
          <t>2023/24</t>
        </is>
      </c>
      <c r="B112" s="28" t="n">
        <v>45261</v>
      </c>
      <c r="C112" s="28" t="inlineStr">
        <is>
          <t>Dec</t>
        </is>
      </c>
      <c r="D112" s="29" t="n">
        <v>4771.6905</v>
      </c>
      <c r="E112" s="30" t="n">
        <v>3834.76</v>
      </c>
      <c r="F112" s="30" t="n">
        <v>37.14486</v>
      </c>
      <c r="G112" s="31">
        <f>E112+F112</f>
        <v/>
      </c>
      <c r="H112" s="29">
        <f>SUM(D112:F112)</f>
        <v/>
      </c>
      <c r="I112" s="38" t="n">
        <v>9822.549677000001</v>
      </c>
      <c r="J112" s="32" t="n"/>
    </row>
    <row r="113">
      <c r="A113" s="21" t="inlineStr">
        <is>
          <t>2023/24</t>
        </is>
      </c>
      <c r="B113" s="28" t="n">
        <v>45292</v>
      </c>
      <c r="C113" s="28" t="inlineStr">
        <is>
          <t>Jan</t>
        </is>
      </c>
      <c r="D113" s="30" t="n">
        <v>5866.2747</v>
      </c>
      <c r="E113" s="30" t="n">
        <v>2854.837</v>
      </c>
      <c r="F113" s="30" t="n">
        <v>51.58836</v>
      </c>
      <c r="G113" s="31">
        <f>E113+F113</f>
        <v/>
      </c>
      <c r="H113" s="29">
        <f>SUM(D113:F113)</f>
        <v/>
      </c>
      <c r="I113" s="39" t="n">
        <v>7920.45702</v>
      </c>
      <c r="J113" s="32" t="n"/>
    </row>
    <row r="114">
      <c r="A114" s="21" t="inlineStr">
        <is>
          <t>2023/24</t>
        </is>
      </c>
      <c r="B114" s="28" t="n">
        <v>45323</v>
      </c>
      <c r="C114" s="28" t="inlineStr">
        <is>
          <t>Feb</t>
        </is>
      </c>
      <c r="D114" s="30" t="n">
        <v>5282.1812</v>
      </c>
      <c r="E114" s="30" t="n">
        <v>6608.15</v>
      </c>
      <c r="F114" s="30" t="n">
        <v>4.8146</v>
      </c>
      <c r="G114" s="31">
        <f>E114+F114</f>
        <v/>
      </c>
      <c r="H114" s="29">
        <f>SUM(D114:F114)</f>
        <v/>
      </c>
      <c r="I114" s="39" t="n">
        <v>5115.300294</v>
      </c>
      <c r="J114" s="32" t="n"/>
    </row>
    <row r="115">
      <c r="A115" s="21" t="inlineStr">
        <is>
          <t>2023/24</t>
        </is>
      </c>
      <c r="B115" s="28" t="n">
        <v>45352</v>
      </c>
      <c r="C115" s="28" t="inlineStr">
        <is>
          <t>Mar</t>
        </is>
      </c>
      <c r="D115" s="30" t="n">
        <v>3189.6311</v>
      </c>
      <c r="E115" s="30" t="n">
        <v>12600.313</v>
      </c>
      <c r="F115" s="30" t="n">
        <v>4.9375</v>
      </c>
      <c r="G115" s="31">
        <f>E115+F115</f>
        <v/>
      </c>
      <c r="H115" s="29">
        <f>SUM(D115:F115)</f>
        <v/>
      </c>
      <c r="I115" s="40" t="n">
        <v>5539.948965</v>
      </c>
      <c r="J115" s="32" t="n"/>
    </row>
    <row r="116">
      <c r="A116" s="21" t="inlineStr">
        <is>
          <t>2023/24</t>
        </is>
      </c>
      <c r="B116" s="28" t="n">
        <v>45383</v>
      </c>
      <c r="C116" s="28" t="inlineStr">
        <is>
          <t>Apr</t>
        </is>
      </c>
      <c r="D116" s="30" t="n">
        <v>1783.4164</v>
      </c>
      <c r="E116" s="30" t="n">
        <v>14687.834</v>
      </c>
      <c r="F116" s="30" t="n">
        <v>170.198745</v>
      </c>
      <c r="G116" s="31">
        <f>E116+F116</f>
        <v/>
      </c>
      <c r="H116" s="29">
        <f>SUM(D116:F116)</f>
        <v/>
      </c>
      <c r="I116" s="40" t="n">
        <v>8571.614310000001</v>
      </c>
      <c r="J116" s="32" t="n"/>
    </row>
    <row r="117">
      <c r="A117" s="21" t="inlineStr">
        <is>
          <t>2023/24</t>
        </is>
      </c>
      <c r="B117" s="28" t="n">
        <v>45413</v>
      </c>
      <c r="C117" s="28" t="inlineStr">
        <is>
          <t>May</t>
        </is>
      </c>
      <c r="D117" s="30" t="n">
        <v>1376.7528</v>
      </c>
      <c r="E117" s="30" t="n">
        <v>13436.731</v>
      </c>
      <c r="F117" s="30" t="n">
        <v>1516.647393</v>
      </c>
      <c r="G117" s="31">
        <f>E117+F117</f>
        <v/>
      </c>
      <c r="H117" s="29">
        <f>SUM(D117:F117)</f>
        <v/>
      </c>
      <c r="I117" s="40" t="n">
        <v>10220.571753</v>
      </c>
      <c r="J117" s="32" t="n"/>
    </row>
    <row r="118">
      <c r="A118" s="21" t="inlineStr">
        <is>
          <t>2023/24</t>
        </is>
      </c>
      <c r="B118" s="28" t="n">
        <v>45444</v>
      </c>
      <c r="C118" s="28" t="inlineStr">
        <is>
          <t>Jun</t>
        </is>
      </c>
      <c r="D118" s="30" t="n">
        <v>1407.5643</v>
      </c>
      <c r="E118" s="30" t="n">
        <v>13959.641</v>
      </c>
      <c r="F118" s="30" t="n">
        <v>1415.930418</v>
      </c>
      <c r="G118" s="31">
        <f>E118+F118</f>
        <v/>
      </c>
      <c r="H118" s="29">
        <f>SUM(D118:F118)</f>
        <v/>
      </c>
      <c r="I118" s="40" t="n">
        <v>11112.672761</v>
      </c>
      <c r="J118" s="32" t="n"/>
    </row>
    <row r="119">
      <c r="A119" s="21" t="inlineStr">
        <is>
          <t>2023/24</t>
        </is>
      </c>
      <c r="B119" s="28" t="n">
        <v>45474</v>
      </c>
      <c r="C119" s="28" t="inlineStr">
        <is>
          <t>Jul</t>
        </is>
      </c>
      <c r="D119" s="30" t="n">
        <v>1490.8416</v>
      </c>
      <c r="E119" s="30" t="n">
        <v>11252.774</v>
      </c>
      <c r="F119" s="30" t="n">
        <v>373.207099</v>
      </c>
      <c r="G119" s="31">
        <f>E119+F119</f>
        <v/>
      </c>
      <c r="H119" s="29">
        <f>SUM(D119:F119)</f>
        <v/>
      </c>
      <c r="I119" s="40" t="n">
        <v>9854.114242</v>
      </c>
      <c r="J119" s="32" t="n"/>
    </row>
    <row r="120">
      <c r="A120" s="21" t="inlineStr">
        <is>
          <t>2023/24</t>
        </is>
      </c>
      <c r="B120" s="28" t="n">
        <v>45505</v>
      </c>
      <c r="C120" s="28" t="inlineStr">
        <is>
          <t>Aug</t>
        </is>
      </c>
      <c r="D120" s="30" t="n">
        <v>1709.8521</v>
      </c>
      <c r="E120" s="30" t="n">
        <v>8037.722</v>
      </c>
      <c r="F120" s="30" t="n">
        <v>521.92908</v>
      </c>
      <c r="G120" s="31">
        <f>E120+F120</f>
        <v/>
      </c>
      <c r="H120" s="29">
        <f>SUM(D120:F120)</f>
        <v/>
      </c>
      <c r="I120" s="40" t="n">
        <v>12144.269267</v>
      </c>
      <c r="J120" s="32" t="n"/>
    </row>
    <row r="121">
      <c r="A121" s="21" t="inlineStr">
        <is>
          <t>2023/24</t>
        </is>
      </c>
      <c r="B121" s="28" t="n">
        <v>45536</v>
      </c>
      <c r="C121" s="28" t="inlineStr">
        <is>
          <t>Sep</t>
        </is>
      </c>
      <c r="D121" s="30" t="n">
        <v>3114.1604</v>
      </c>
      <c r="E121" s="30" t="n">
        <v>6104.26</v>
      </c>
      <c r="F121" s="30" t="n">
        <v>292.212745</v>
      </c>
      <c r="G121" s="31">
        <f>E121+F121</f>
        <v/>
      </c>
      <c r="H121" s="29">
        <f>SUM(D121:F121)</f>
        <v/>
      </c>
      <c r="I121" s="40" t="n">
        <v>11370.347942</v>
      </c>
      <c r="J121" s="32" t="n"/>
    </row>
    <row r="122">
      <c r="A122" s="21" t="inlineStr">
        <is>
          <t>2024/25</t>
        </is>
      </c>
      <c r="B122" s="28" t="n">
        <v>45566</v>
      </c>
      <c r="C122" s="28" t="inlineStr">
        <is>
          <t>Oct</t>
        </is>
      </c>
      <c r="D122" s="30" t="n">
        <v>9418.049199999999</v>
      </c>
      <c r="E122" s="30" t="n">
        <v>4709.748</v>
      </c>
      <c r="F122" s="30" t="n">
        <v>145.41238</v>
      </c>
      <c r="G122" s="31">
        <f>E122+F122</f>
        <v/>
      </c>
      <c r="H122" s="29">
        <f>SUM(D122:F122)</f>
        <v/>
      </c>
      <c r="I122" s="40" t="n">
        <v>8087.799035</v>
      </c>
      <c r="J122" s="32" t="n"/>
    </row>
    <row r="123">
      <c r="A123" s="21" t="inlineStr">
        <is>
          <t>2024/25</t>
        </is>
      </c>
      <c r="B123" s="28" t="n">
        <v>45597</v>
      </c>
      <c r="C123" s="28" t="inlineStr">
        <is>
          <t>Nov</t>
        </is>
      </c>
      <c r="D123" s="30" t="n">
        <v>10085.2429</v>
      </c>
      <c r="E123" s="30" t="n">
        <v>2552.8</v>
      </c>
      <c r="F123" s="30" t="n">
        <v>94.06399999999999</v>
      </c>
      <c r="G123" s="31">
        <f>E123+F123</f>
        <v/>
      </c>
      <c r="H123" s="29">
        <f>SUM(D123:F123)</f>
        <v/>
      </c>
      <c r="I123" s="40" t="n">
        <v>7154.107721</v>
      </c>
      <c r="J123" s="32" t="n"/>
    </row>
    <row r="124">
      <c r="A124" s="21" t="inlineStr">
        <is>
          <t>2024/25</t>
        </is>
      </c>
      <c r="B124" s="28" t="n">
        <v>45627</v>
      </c>
      <c r="C124" s="28" t="inlineStr">
        <is>
          <t>Dec</t>
        </is>
      </c>
      <c r="D124" s="30" t="n">
        <v>7482.4208</v>
      </c>
      <c r="E124" s="30" t="n">
        <v>2006.054</v>
      </c>
      <c r="F124" s="30" t="n">
        <v>8.530512</v>
      </c>
      <c r="G124" s="31">
        <f>E124+F124</f>
        <v/>
      </c>
      <c r="H124" s="29">
        <f>SUM(D124:F124)</f>
        <v/>
      </c>
      <c r="I124" s="40" t="n">
        <v>7941.460953</v>
      </c>
      <c r="J124" s="32" t="n"/>
    </row>
    <row r="125">
      <c r="A125" s="21" t="inlineStr">
        <is>
          <t>2024/25</t>
        </is>
      </c>
      <c r="B125" s="28" t="n">
        <v>45658</v>
      </c>
      <c r="C125" s="28" t="inlineStr">
        <is>
          <t>Jan</t>
        </is>
      </c>
      <c r="D125" s="30" t="n">
        <v>5211.687099999999</v>
      </c>
      <c r="E125" s="30" t="n">
        <v>1069.087</v>
      </c>
      <c r="F125" s="30" t="n">
        <v>6.990399999999999</v>
      </c>
      <c r="G125" s="31">
        <f>E125+F125</f>
        <v/>
      </c>
      <c r="H125" s="29">
        <f>SUM(D125:F125)</f>
        <v/>
      </c>
      <c r="I125" s="40" t="n">
        <v>7775.363993</v>
      </c>
      <c r="J125" s="32" t="n"/>
    </row>
    <row r="126">
      <c r="A126" s="21" t="inlineStr">
        <is>
          <t>2024/25</t>
        </is>
      </c>
      <c r="B126" s="28" t="n">
        <v>45689</v>
      </c>
      <c r="C126" s="28" t="inlineStr">
        <is>
          <t>Feb</t>
        </is>
      </c>
      <c r="D126" s="30" t="n">
        <v>3117.2018</v>
      </c>
      <c r="E126" s="30" t="n">
        <v>6428.333</v>
      </c>
      <c r="F126" s="30" t="n">
        <v>8.53848</v>
      </c>
      <c r="G126" s="31">
        <f>E126+F126</f>
        <v/>
      </c>
      <c r="H126" s="29">
        <f>SUM(D126:F126)</f>
        <v/>
      </c>
      <c r="I126" s="40" t="n">
        <v>5830.123168</v>
      </c>
      <c r="J126" s="32" t="n"/>
    </row>
    <row r="127">
      <c r="A127" s="21" t="inlineStr">
        <is>
          <t>2024/25</t>
        </is>
      </c>
      <c r="B127" s="28" t="n">
        <v>45717</v>
      </c>
      <c r="C127" s="28" t="inlineStr">
        <is>
          <t>Mar</t>
        </is>
      </c>
      <c r="D127" s="30" t="n">
        <v>3498.2368</v>
      </c>
      <c r="E127" s="30" t="n">
        <v>14657.767</v>
      </c>
      <c r="F127" s="30" t="n">
        <v>7.33728</v>
      </c>
      <c r="G127" s="31">
        <f>E127+F127</f>
        <v/>
      </c>
      <c r="H127" s="29">
        <f>SUM(D127:F127)</f>
        <v/>
      </c>
      <c r="I127" s="41" t="n">
        <v>3503.438797</v>
      </c>
      <c r="J127" s="32" t="n"/>
    </row>
    <row r="128">
      <c r="A128" s="21" t="inlineStr">
        <is>
          <t>2024/25</t>
        </is>
      </c>
      <c r="B128" s="28" t="n">
        <v>45748</v>
      </c>
      <c r="C128" s="28" t="inlineStr">
        <is>
          <t>Apr</t>
        </is>
      </c>
      <c r="D128" s="30" t="n">
        <v>2179.7814</v>
      </c>
      <c r="E128" s="30" t="n">
        <v>15271.924</v>
      </c>
      <c r="F128" s="30" t="n">
        <v>162.3074</v>
      </c>
      <c r="G128" s="31">
        <f>E128+F128</f>
        <v/>
      </c>
      <c r="H128" s="29">
        <f>SUM(D128:F128)</f>
        <v/>
      </c>
      <c r="I128" s="41" t="n">
        <v>6079.892654</v>
      </c>
      <c r="J128" s="32" t="n"/>
    </row>
    <row r="129">
      <c r="A129" s="21" t="inlineStr">
        <is>
          <t>2024/25</t>
        </is>
      </c>
      <c r="B129" s="28" t="n">
        <v>45778</v>
      </c>
      <c r="C129" s="28" t="inlineStr">
        <is>
          <t>May</t>
        </is>
      </c>
      <c r="D129" s="30" t="n">
        <v>1595.2748</v>
      </c>
      <c r="E129" s="30" t="n">
        <v>14100.526</v>
      </c>
      <c r="F129" s="30" t="n">
        <v>1225.669068</v>
      </c>
      <c r="G129" s="31">
        <f>E129+F129</f>
        <v/>
      </c>
      <c r="H129" s="29">
        <f>SUM(D129:F129)</f>
        <v/>
      </c>
      <c r="I129" s="41" t="n">
        <v>13917.473757</v>
      </c>
      <c r="J129" s="32" t="n"/>
    </row>
    <row r="130">
      <c r="A130" s="21" t="inlineStr">
        <is>
          <t>2024/25</t>
        </is>
      </c>
      <c r="B130" s="28" t="n">
        <v>45809</v>
      </c>
      <c r="C130" s="28" t="inlineStr">
        <is>
          <t>Jun</t>
        </is>
      </c>
      <c r="D130" s="30" t="n">
        <v>1500.6459</v>
      </c>
      <c r="E130" s="30" t="n">
        <v>13420.318</v>
      </c>
      <c r="F130" s="30" t="n">
        <v>1004.730873</v>
      </c>
      <c r="G130" s="31">
        <f>E130+F130</f>
        <v/>
      </c>
      <c r="H130" s="29">
        <f>SUM(D130:F130)</f>
        <v/>
      </c>
      <c r="I130" s="41" t="n">
        <v>12282.985391</v>
      </c>
      <c r="J130" s="32" t="n"/>
    </row>
    <row r="131">
      <c r="A131" s="21" t="inlineStr">
        <is>
          <t>2024/25</t>
        </is>
      </c>
      <c r="B131" s="28" t="n">
        <v>45839</v>
      </c>
      <c r="C131" s="28" t="inlineStr">
        <is>
          <t>Jul</t>
        </is>
      </c>
      <c r="D131" s="30" t="n">
        <v>1750.7699</v>
      </c>
      <c r="E131" s="30" t="n">
        <v>12257.349</v>
      </c>
      <c r="F131" s="30" t="n">
        <v>1363.25218</v>
      </c>
      <c r="G131" s="31">
        <f>E131+F131</f>
        <v/>
      </c>
      <c r="H131" s="29">
        <f>SUM(D131:F131)</f>
        <v/>
      </c>
      <c r="I131" s="41" t="n">
        <v>11664.274374</v>
      </c>
      <c r="J131" s="32" t="n"/>
    </row>
    <row r="132">
      <c r="A132" s="21" t="inlineStr">
        <is>
          <t>2024/25</t>
        </is>
      </c>
      <c r="B132" s="28" t="n">
        <v>45870</v>
      </c>
      <c r="C132" s="28" t="inlineStr">
        <is>
          <t>Aug</t>
        </is>
      </c>
      <c r="D132" s="42" t="n">
        <v>2273.4409</v>
      </c>
      <c r="E132" s="30" t="n">
        <v>9325.168</v>
      </c>
      <c r="F132" s="30" t="n">
        <v>1795.034496</v>
      </c>
      <c r="G132" s="31">
        <f>E132+F132</f>
        <v/>
      </c>
      <c r="H132" s="29">
        <f>SUM(D132:F132)</f>
        <v/>
      </c>
      <c r="I132" s="41" t="n">
        <v>12277.454488</v>
      </c>
      <c r="J132" s="32" t="n"/>
    </row>
    <row r="133">
      <c r="A133" s="21" t="inlineStr">
        <is>
          <t>2024/25</t>
        </is>
      </c>
      <c r="B133" s="28" t="n">
        <v>45901</v>
      </c>
      <c r="C133" s="28" t="inlineStr">
        <is>
          <t>Sep</t>
        </is>
      </c>
      <c r="D133" s="42" t="n">
        <v>2855.9562</v>
      </c>
      <c r="E133" s="30" t="n">
        <v>7339.963</v>
      </c>
      <c r="F133" s="30" t="n">
        <v>2042.412706</v>
      </c>
      <c r="G133" s="31">
        <f>E133+F133</f>
        <v/>
      </c>
      <c r="H133" s="29">
        <f>SUM(D133:F133)</f>
        <v/>
      </c>
      <c r="I133" s="41" t="n">
        <v>12868.006638</v>
      </c>
      <c r="J133" s="32" t="n"/>
    </row>
    <row r="134">
      <c r="A134" s="43" t="inlineStr">
        <is>
          <t>2025/26</t>
        </is>
      </c>
      <c r="B134" s="28" t="n">
        <v>45931</v>
      </c>
      <c r="C134" s="28" t="inlineStr">
        <is>
          <t>Oct</t>
        </is>
      </c>
      <c r="D134" s="42" t="n">
        <v>5363.8283</v>
      </c>
      <c r="E134" s="30" t="n">
        <v>6727.664</v>
      </c>
      <c r="F134" s="30" t="n">
        <v>1680.182</v>
      </c>
      <c r="G134" s="31">
        <f>E134+F134</f>
        <v/>
      </c>
      <c r="H134" s="29">
        <f>SUM(D134:F134)</f>
        <v/>
      </c>
      <c r="I134" s="41" t="n">
        <v>9481.847</v>
      </c>
      <c r="J134" s="32" t="n"/>
    </row>
    <row r="135">
      <c r="A135" s="43" t="inlineStr">
        <is>
          <t>2025/26</t>
        </is>
      </c>
      <c r="B135" s="28" t="n">
        <v>45962</v>
      </c>
      <c r="C135" s="28" t="inlineStr">
        <is>
          <t>Nov</t>
        </is>
      </c>
      <c r="D135" s="44" t="n">
        <v>4292.675</v>
      </c>
      <c r="E135" s="30" t="n">
        <v>4197.161</v>
      </c>
      <c r="F135" s="30" t="n">
        <v>2190.831</v>
      </c>
      <c r="G135" s="31">
        <f>E135+F135</f>
        <v/>
      </c>
      <c r="H135" s="29">
        <f>SUM(D135:F135)</f>
        <v/>
      </c>
      <c r="I135" s="45" t="n">
        <v>8107.313</v>
      </c>
      <c r="J135" s="32" t="n"/>
    </row>
    <row r="136">
      <c r="A136" s="21" t="inlineStr">
        <is>
          <t>2025/26</t>
        </is>
      </c>
      <c r="B136" s="28" t="n">
        <v>45992</v>
      </c>
      <c r="C136" s="46" t="inlineStr">
        <is>
          <t>Dec</t>
        </is>
      </c>
      <c r="D136" s="47" t="n">
        <v>4460.112</v>
      </c>
      <c r="E136" s="30" t="n">
        <v>3383</v>
      </c>
      <c r="F136" s="30" t="n">
        <v>870.8040999999999</v>
      </c>
      <c r="G136" s="31">
        <f>E136+F136</f>
        <v/>
      </c>
      <c r="H136" s="29">
        <f>SUM(D136:F136)</f>
        <v/>
      </c>
      <c r="I136" s="41" t="n">
        <v>8043.911</v>
      </c>
      <c r="J136" s="32" t="n"/>
    </row>
    <row r="137">
      <c r="A137" s="21" t="inlineStr">
        <is>
          <t>2025/26</t>
        </is>
      </c>
      <c r="B137" s="28" t="n">
        <v>46023</v>
      </c>
      <c r="C137" s="46" t="inlineStr">
        <is>
          <t>Jan</t>
        </is>
      </c>
      <c r="D137" s="30" t="n">
        <v>5821.947</v>
      </c>
      <c r="E137" s="30" t="n">
        <v>1877</v>
      </c>
      <c r="F137" s="30" t="n">
        <v>53.336</v>
      </c>
      <c r="G137" s="31">
        <f>E137+F137</f>
        <v/>
      </c>
      <c r="H137" s="29">
        <f>SUM(D137:F137)</f>
        <v/>
      </c>
      <c r="I137" s="30" t="n">
        <v>6570.877653</v>
      </c>
      <c r="J137" s="32" t="n"/>
    </row>
    <row r="138">
      <c r="A138" s="21" t="inlineStr">
        <is>
          <t>2025/26</t>
        </is>
      </c>
      <c r="B138" s="28" t="n">
        <v>46054</v>
      </c>
      <c r="C138" s="46" t="inlineStr">
        <is>
          <t>Feb</t>
        </is>
      </c>
      <c r="D138" s="30" t="n">
        <v>4195.741</v>
      </c>
      <c r="E138" s="30" t="n">
        <v>7076</v>
      </c>
      <c r="F138" s="30" t="n">
        <v>4.53578</v>
      </c>
      <c r="G138" s="31">
        <f>E138+F138</f>
        <v/>
      </c>
      <c r="H138" s="29">
        <f>SUM(D138:F138)</f>
        <v/>
      </c>
      <c r="I138" s="30" t="n">
        <v>5975.907647</v>
      </c>
      <c r="J138" s="32" t="n"/>
    </row>
    <row r="139">
      <c r="A139" s="21" t="inlineStr">
        <is>
          <t>2025/26</t>
        </is>
      </c>
      <c r="B139" s="28" t="n">
        <v>46082</v>
      </c>
      <c r="C139" s="46" t="inlineStr">
        <is>
          <t>Mar</t>
        </is>
      </c>
      <c r="D139" s="30" t="n">
        <v>3949.256</v>
      </c>
      <c r="E139" s="30" t="n">
        <v>14531.68</v>
      </c>
      <c r="F139" s="30" t="n">
        <v>4.53578</v>
      </c>
      <c r="G139" s="31">
        <f>E139+F139</f>
        <v/>
      </c>
      <c r="H139" s="29">
        <f>SUM(D139:F139)</f>
        <v/>
      </c>
      <c r="I139" s="30" t="n">
        <v>4019.229051</v>
      </c>
      <c r="J139" s="32" t="n"/>
    </row>
    <row r="140">
      <c r="A140" s="21" t="inlineStr">
        <is>
          <t>2025/26</t>
        </is>
      </c>
      <c r="B140" s="28" t="n">
        <v>46113</v>
      </c>
      <c r="C140" s="46" t="inlineStr">
        <is>
          <t>Apr</t>
        </is>
      </c>
      <c r="D140" s="19" t="n">
        <v>2988</v>
      </c>
      <c r="E140" s="19" t="n">
        <v>17000</v>
      </c>
      <c r="F140" s="19" t="n">
        <v>0</v>
      </c>
      <c r="G140" s="60">
        <f>E140+F140</f>
        <v/>
      </c>
      <c r="H140" s="61">
        <f>SUM(D140:F140)</f>
        <v/>
      </c>
      <c r="I140" s="19" t="n"/>
      <c r="J140" s="32" t="n"/>
    </row>
  </sheetData>
  <autoFilter ref="A1:G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7"/>
  <sheetViews>
    <sheetView topLeftCell="B1" workbookViewId="0">
      <pane ySplit="1" topLeftCell="A125" activePane="bottomLeft" state="frozen"/>
      <selection pane="bottomLeft" activeCell="K145" sqref="K145"/>
    </sheetView>
  </sheetViews>
  <sheetFormatPr baseColWidth="8" defaultColWidth="9" defaultRowHeight="15.75"/>
  <cols>
    <col width="12.140625" bestFit="1" customWidth="1" style="27" min="1" max="1"/>
    <col width="9.7109375" bestFit="1" customWidth="1" style="27" min="2" max="2"/>
    <col width="12.140625" customWidth="1" style="27" min="3" max="3"/>
    <col width="10.7109375" bestFit="1" customWidth="1" style="27" min="4" max="4"/>
    <col width="9.7109375" bestFit="1" customWidth="1" style="27" min="5" max="20"/>
    <col width="10.7109375" bestFit="1" customWidth="1" style="27" min="21" max="21"/>
    <col width="9.7109375" bestFit="1" customWidth="1" style="27" min="22" max="84"/>
    <col width="9" customWidth="1" style="27" min="85" max="85"/>
    <col width="9" customWidth="1" style="27" min="86" max="16384"/>
  </cols>
  <sheetData>
    <row r="1" customFormat="1" s="56">
      <c r="A1" s="55" t="inlineStr">
        <is>
          <t>Martket Year</t>
        </is>
      </c>
      <c r="B1" s="55" t="inlineStr">
        <is>
          <t>Date</t>
        </is>
      </c>
      <c r="C1" s="55" t="inlineStr">
        <is>
          <t>Month</t>
        </is>
      </c>
      <c r="D1" s="55" t="inlineStr">
        <is>
          <t>US</t>
        </is>
      </c>
      <c r="E1" s="55" t="inlineStr">
        <is>
          <t>Brazil</t>
        </is>
      </c>
      <c r="F1" s="55" t="inlineStr">
        <is>
          <t>Argentina</t>
        </is>
      </c>
    </row>
    <row r="2">
      <c r="A2" s="48" t="inlineStr">
        <is>
          <t>2013/14</t>
        </is>
      </c>
      <c r="B2" s="49" t="n">
        <v>41730</v>
      </c>
      <c r="C2" s="48" t="inlineStr">
        <is>
          <t>Apr</t>
        </is>
      </c>
      <c r="D2" s="30" t="n">
        <v>841.861</v>
      </c>
      <c r="E2" s="30" t="n">
        <v>1330.395</v>
      </c>
      <c r="F2" s="30" t="n">
        <v>2712.040847</v>
      </c>
    </row>
    <row r="3">
      <c r="A3" s="48" t="inlineStr">
        <is>
          <t>2013/14</t>
        </is>
      </c>
      <c r="B3" s="49" t="n">
        <v>41760</v>
      </c>
      <c r="C3" s="48" t="inlineStr">
        <is>
          <t>May</t>
        </is>
      </c>
      <c r="D3" s="30" t="n">
        <v>675.9463000000001</v>
      </c>
      <c r="E3" s="30" t="n">
        <v>1420.161</v>
      </c>
      <c r="F3" s="30" t="n">
        <v>2870.88583</v>
      </c>
    </row>
    <row r="4">
      <c r="A4" s="48" t="inlineStr">
        <is>
          <t>2013/14</t>
        </is>
      </c>
      <c r="B4" s="49" t="n">
        <v>41791</v>
      </c>
      <c r="C4" s="48" t="inlineStr">
        <is>
          <t>Jun</t>
        </is>
      </c>
      <c r="D4" s="30" t="n">
        <v>556.7026</v>
      </c>
      <c r="E4" s="30" t="n">
        <v>1681.358</v>
      </c>
      <c r="F4" s="30" t="n">
        <v>2849.03912</v>
      </c>
    </row>
    <row r="5">
      <c r="A5" s="48" t="inlineStr">
        <is>
          <t>2013/14</t>
        </is>
      </c>
      <c r="B5" s="49" t="n">
        <v>41821</v>
      </c>
      <c r="C5" s="48" t="inlineStr">
        <is>
          <t>Jul</t>
        </is>
      </c>
      <c r="D5" s="30" t="n">
        <v>487.6507</v>
      </c>
      <c r="E5" s="30" t="n">
        <v>1253.04</v>
      </c>
      <c r="F5" s="30" t="n">
        <v>2315.783</v>
      </c>
    </row>
    <row r="6">
      <c r="A6" s="48" t="inlineStr">
        <is>
          <t>2013/14</t>
        </is>
      </c>
      <c r="B6" s="49" t="n">
        <v>41852</v>
      </c>
      <c r="C6" s="48" t="inlineStr">
        <is>
          <t>Aug</t>
        </is>
      </c>
      <c r="D6" s="30" t="n">
        <v>389.4406</v>
      </c>
      <c r="E6" s="30" t="n">
        <v>1636.332</v>
      </c>
      <c r="F6" s="30" t="n">
        <v>2389.290323</v>
      </c>
    </row>
    <row r="7">
      <c r="A7" s="48" t="inlineStr">
        <is>
          <t>2013/14</t>
        </is>
      </c>
      <c r="B7" s="49" t="n">
        <v>41883</v>
      </c>
      <c r="C7" s="48" t="inlineStr">
        <is>
          <t>Sep</t>
        </is>
      </c>
      <c r="D7" s="30" t="n">
        <v>389.5526</v>
      </c>
      <c r="E7" s="30" t="n">
        <v>1228.443</v>
      </c>
      <c r="F7" s="30" t="n">
        <v>2308.074075</v>
      </c>
    </row>
    <row r="8">
      <c r="A8" s="48" t="inlineStr">
        <is>
          <t>2014/15</t>
        </is>
      </c>
      <c r="B8" s="49" t="n">
        <v>41913</v>
      </c>
      <c r="C8" s="48" t="inlineStr">
        <is>
          <t>Oct</t>
        </is>
      </c>
      <c r="D8" s="30" t="n">
        <v>790.4400000000001</v>
      </c>
      <c r="E8" s="30" t="n">
        <v>1180.897</v>
      </c>
      <c r="F8" s="30" t="n">
        <v>2043.692865</v>
      </c>
    </row>
    <row r="9">
      <c r="A9" s="48" t="inlineStr">
        <is>
          <t>2014/15</t>
        </is>
      </c>
      <c r="B9" s="49" t="n">
        <v>41944</v>
      </c>
      <c r="C9" s="48" t="inlineStr">
        <is>
          <t>Nov</t>
        </is>
      </c>
      <c r="D9" s="30" t="n">
        <v>1189.0838</v>
      </c>
      <c r="E9" s="30" t="n">
        <v>981.375</v>
      </c>
      <c r="F9" s="30" t="n">
        <v>2118.73781</v>
      </c>
    </row>
    <row r="10">
      <c r="A10" s="48" t="inlineStr">
        <is>
          <t>2014/15</t>
        </is>
      </c>
      <c r="B10" s="49" t="n">
        <v>41974</v>
      </c>
      <c r="C10" s="48" t="inlineStr">
        <is>
          <t>Dec</t>
        </is>
      </c>
      <c r="D10" s="30" t="n">
        <v>1230.7578</v>
      </c>
      <c r="E10" s="30" t="n">
        <v>869.066</v>
      </c>
      <c r="F10" s="30" t="n">
        <v>1616.229585</v>
      </c>
    </row>
    <row r="11">
      <c r="A11" s="48" t="inlineStr">
        <is>
          <t>2014/15</t>
        </is>
      </c>
      <c r="B11" s="49" t="n">
        <v>42005</v>
      </c>
      <c r="C11" s="48" t="inlineStr">
        <is>
          <t>Jan</t>
        </is>
      </c>
      <c r="D11" s="30" t="n">
        <v>1375.554</v>
      </c>
      <c r="E11" s="30" t="n">
        <v>906.063</v>
      </c>
      <c r="F11" s="30" t="n">
        <v>1423.17279</v>
      </c>
    </row>
    <row r="12">
      <c r="A12" s="48" t="inlineStr">
        <is>
          <t>2014/15</t>
        </is>
      </c>
      <c r="B12" s="49" t="n">
        <v>42036</v>
      </c>
      <c r="C12" s="48" t="inlineStr">
        <is>
          <t>Feb</t>
        </is>
      </c>
      <c r="D12" s="30" t="n">
        <v>1127.2797</v>
      </c>
      <c r="E12" s="30" t="n">
        <v>685.506</v>
      </c>
      <c r="F12" s="30" t="n">
        <v>1573.833468</v>
      </c>
    </row>
    <row r="13">
      <c r="A13" s="48" t="inlineStr">
        <is>
          <t>2014/15</t>
        </is>
      </c>
      <c r="B13" s="49" t="n">
        <v>42064</v>
      </c>
      <c r="C13" s="48" t="inlineStr">
        <is>
          <t>Mar</t>
        </is>
      </c>
      <c r="D13" s="30" t="n">
        <v>1148.9066</v>
      </c>
      <c r="E13" s="30" t="n">
        <v>1335.499</v>
      </c>
      <c r="F13" s="30" t="n">
        <v>1242.52708</v>
      </c>
    </row>
    <row r="14">
      <c r="A14" s="48" t="inlineStr">
        <is>
          <t>2014/15</t>
        </is>
      </c>
      <c r="B14" s="49" t="n">
        <v>42095</v>
      </c>
      <c r="C14" s="48" t="inlineStr">
        <is>
          <t>Apr</t>
        </is>
      </c>
      <c r="D14" s="30" t="n">
        <v>1121.3405</v>
      </c>
      <c r="E14" s="30" t="n">
        <v>1197.643</v>
      </c>
      <c r="F14" s="30" t="n">
        <v>2582.021935</v>
      </c>
    </row>
    <row r="15">
      <c r="A15" s="48" t="inlineStr">
        <is>
          <t>2014/15</t>
        </is>
      </c>
      <c r="B15" s="49" t="n">
        <v>42125</v>
      </c>
      <c r="C15" s="48" t="inlineStr">
        <is>
          <t>May</t>
        </is>
      </c>
      <c r="D15" s="30" t="n">
        <v>872.2900999999999</v>
      </c>
      <c r="E15" s="30" t="n">
        <v>1588.954</v>
      </c>
      <c r="F15" s="30" t="n">
        <v>2013.286701</v>
      </c>
    </row>
    <row r="16">
      <c r="A16" s="48" t="inlineStr">
        <is>
          <t>2014/15</t>
        </is>
      </c>
      <c r="B16" s="49" t="n">
        <v>42156</v>
      </c>
      <c r="C16" s="48" t="inlineStr">
        <is>
          <t>Jun</t>
        </is>
      </c>
      <c r="D16" s="30" t="n">
        <v>885.7585</v>
      </c>
      <c r="E16" s="30" t="n">
        <v>1622.768</v>
      </c>
      <c r="F16" s="30" t="n">
        <v>3005.804852</v>
      </c>
    </row>
    <row r="17">
      <c r="A17" s="48" t="inlineStr">
        <is>
          <t>2014/15</t>
        </is>
      </c>
      <c r="B17" s="49" t="n">
        <v>42186</v>
      </c>
      <c r="C17" s="48" t="inlineStr">
        <is>
          <t>Jul</t>
        </is>
      </c>
      <c r="D17" s="30" t="n">
        <v>710.8553000000001</v>
      </c>
      <c r="E17" s="30" t="n">
        <v>1709.447</v>
      </c>
      <c r="F17" s="30" t="n">
        <v>3206.376011</v>
      </c>
    </row>
    <row r="18">
      <c r="A18" s="48" t="inlineStr">
        <is>
          <t>2014/15</t>
        </is>
      </c>
      <c r="B18" s="49" t="n">
        <v>42217</v>
      </c>
      <c r="C18" s="48" t="inlineStr">
        <is>
          <t>Aug</t>
        </is>
      </c>
      <c r="D18" s="30" t="n">
        <v>770.3172</v>
      </c>
      <c r="E18" s="30" t="n">
        <v>1109.459</v>
      </c>
      <c r="F18" s="30" t="n">
        <v>2656.834328</v>
      </c>
    </row>
    <row r="19">
      <c r="A19" s="48" t="inlineStr">
        <is>
          <t>2014/15</t>
        </is>
      </c>
      <c r="B19" s="49" t="n">
        <v>42248</v>
      </c>
      <c r="C19" s="48" t="inlineStr">
        <is>
          <t>Sep</t>
        </is>
      </c>
      <c r="D19" s="30" t="n">
        <v>552.4385</v>
      </c>
      <c r="E19" s="30" t="n">
        <v>1103.261</v>
      </c>
      <c r="F19" s="30" t="n">
        <v>2867.57106</v>
      </c>
    </row>
    <row r="20">
      <c r="A20" s="48" t="inlineStr">
        <is>
          <t>2015/16</t>
        </is>
      </c>
      <c r="B20" s="49" t="n">
        <v>42278</v>
      </c>
      <c r="C20" s="48" t="inlineStr">
        <is>
          <t>Oct</t>
        </is>
      </c>
      <c r="D20" s="30" t="n">
        <v>806.8628</v>
      </c>
      <c r="E20" s="30" t="n">
        <v>1398.759</v>
      </c>
      <c r="F20" s="30" t="n">
        <v>2585.950695</v>
      </c>
    </row>
    <row r="21">
      <c r="A21" s="48" t="inlineStr">
        <is>
          <t>2015/16</t>
        </is>
      </c>
      <c r="B21" s="49" t="n">
        <v>42309</v>
      </c>
      <c r="C21" s="48" t="inlineStr">
        <is>
          <t>Nov</t>
        </is>
      </c>
      <c r="D21" s="30" t="n">
        <v>1057.8246</v>
      </c>
      <c r="E21" s="30" t="n">
        <v>1126.572</v>
      </c>
      <c r="F21" s="30" t="n">
        <v>1734.47067</v>
      </c>
    </row>
    <row r="22">
      <c r="A22" s="48" t="inlineStr">
        <is>
          <t>2015/16</t>
        </is>
      </c>
      <c r="B22" s="49" t="n">
        <v>42339</v>
      </c>
      <c r="C22" s="48" t="inlineStr">
        <is>
          <t>Dec</t>
        </is>
      </c>
      <c r="D22" s="30" t="n">
        <v>964.8314</v>
      </c>
      <c r="E22" s="30" t="n">
        <v>1148.2258</v>
      </c>
      <c r="F22" s="30" t="n">
        <v>1774.574115</v>
      </c>
    </row>
    <row r="23">
      <c r="A23" s="48" t="inlineStr">
        <is>
          <t>2015/16</t>
        </is>
      </c>
      <c r="B23" s="49" t="n">
        <v>42370</v>
      </c>
      <c r="C23" s="48" t="inlineStr">
        <is>
          <t>Jan</t>
        </is>
      </c>
      <c r="D23" s="30" t="n">
        <v>989.4388</v>
      </c>
      <c r="E23" s="30" t="n">
        <v>1184.927</v>
      </c>
      <c r="F23" s="30" t="n">
        <v>2704.466725</v>
      </c>
    </row>
    <row r="24">
      <c r="A24" s="48" t="inlineStr">
        <is>
          <t>2015/16</t>
        </is>
      </c>
      <c r="B24" s="49" t="n">
        <v>42401</v>
      </c>
      <c r="C24" s="48" t="inlineStr">
        <is>
          <t>Feb</t>
        </is>
      </c>
      <c r="D24" s="30" t="n">
        <v>1087.0684</v>
      </c>
      <c r="E24" s="30" t="n">
        <v>838.197</v>
      </c>
      <c r="F24" s="30" t="n">
        <v>2339.20832</v>
      </c>
    </row>
    <row r="25">
      <c r="A25" s="48" t="inlineStr">
        <is>
          <t>2015/16</t>
        </is>
      </c>
      <c r="B25" s="49" t="n">
        <v>42430</v>
      </c>
      <c r="C25" s="48" t="inlineStr">
        <is>
          <t>Mar</t>
        </is>
      </c>
      <c r="D25" s="30" t="n">
        <v>908.0306999999999</v>
      </c>
      <c r="E25" s="30" t="n">
        <v>1496.672</v>
      </c>
      <c r="F25" s="30" t="n">
        <v>1946.534835</v>
      </c>
    </row>
    <row r="26">
      <c r="A26" s="48" t="inlineStr">
        <is>
          <t>2015/16</t>
        </is>
      </c>
      <c r="B26" s="49" t="n">
        <v>42461</v>
      </c>
      <c r="C26" s="48" t="inlineStr">
        <is>
          <t>Apr</t>
        </is>
      </c>
      <c r="D26" s="30" t="n">
        <v>958.1310999999999</v>
      </c>
      <c r="E26" s="30" t="n">
        <v>1431.172</v>
      </c>
      <c r="F26" s="30" t="n">
        <v>2219.759345</v>
      </c>
    </row>
    <row r="27">
      <c r="A27" s="48" t="inlineStr">
        <is>
          <t>2015/16</t>
        </is>
      </c>
      <c r="B27" s="49" t="n">
        <v>42491</v>
      </c>
      <c r="C27" s="48" t="inlineStr">
        <is>
          <t>May</t>
        </is>
      </c>
      <c r="D27" s="30" t="n">
        <v>945.516</v>
      </c>
      <c r="E27" s="30" t="n">
        <v>1928.969</v>
      </c>
      <c r="F27" s="30" t="n">
        <v>3004.67669</v>
      </c>
    </row>
    <row r="28">
      <c r="A28" s="48" t="inlineStr">
        <is>
          <t>2015/16</t>
        </is>
      </c>
      <c r="B28" s="49" t="n">
        <v>42522</v>
      </c>
      <c r="C28" s="48" t="inlineStr">
        <is>
          <t>Jun</t>
        </is>
      </c>
      <c r="D28" s="30" t="n">
        <v>680.8545</v>
      </c>
      <c r="E28" s="30" t="n">
        <v>1565.475</v>
      </c>
      <c r="F28" s="30" t="n">
        <v>2823.62653</v>
      </c>
    </row>
    <row r="29">
      <c r="A29" s="48" t="inlineStr">
        <is>
          <t>2015/16</t>
        </is>
      </c>
      <c r="B29" s="49" t="n">
        <v>42552</v>
      </c>
      <c r="C29" s="48" t="inlineStr">
        <is>
          <t>Jul</t>
        </is>
      </c>
      <c r="D29" s="30" t="n">
        <v>880.1823000000001</v>
      </c>
      <c r="E29" s="30" t="n">
        <v>1385.798</v>
      </c>
      <c r="F29" s="30" t="n">
        <v>2271.799585</v>
      </c>
    </row>
    <row r="30">
      <c r="A30" s="48" t="inlineStr">
        <is>
          <t>2015/16</t>
        </is>
      </c>
      <c r="B30" s="49" t="n">
        <v>42583</v>
      </c>
      <c r="C30" s="48" t="inlineStr">
        <is>
          <t>Aug</t>
        </is>
      </c>
      <c r="D30" s="30" t="n">
        <v>678.7731</v>
      </c>
      <c r="E30" s="30" t="n">
        <v>1092.963</v>
      </c>
      <c r="F30" s="30" t="n">
        <v>2442.09005</v>
      </c>
    </row>
    <row r="31">
      <c r="A31" s="48" t="inlineStr">
        <is>
          <t>2015/16</t>
        </is>
      </c>
      <c r="B31" s="49" t="n">
        <v>42614</v>
      </c>
      <c r="C31" s="48" t="inlineStr">
        <is>
          <t>Sep</t>
        </is>
      </c>
      <c r="D31" s="30" t="n">
        <v>803.0525</v>
      </c>
      <c r="E31" s="30" t="n">
        <v>915.317</v>
      </c>
      <c r="F31" s="30" t="n">
        <v>2280.813923</v>
      </c>
    </row>
    <row r="32">
      <c r="A32" s="48" t="inlineStr">
        <is>
          <t>2016/17</t>
        </is>
      </c>
      <c r="B32" s="49" t="n">
        <v>42644</v>
      </c>
      <c r="C32" s="48" t="inlineStr">
        <is>
          <t>Oct</t>
        </is>
      </c>
      <c r="D32" s="30" t="n">
        <v>843.1886</v>
      </c>
      <c r="E32" s="30" t="n">
        <v>724.675</v>
      </c>
      <c r="F32" s="30" t="n">
        <v>2404.463225</v>
      </c>
    </row>
    <row r="33">
      <c r="A33" s="48" t="inlineStr">
        <is>
          <t>2016/17</t>
        </is>
      </c>
      <c r="B33" s="49" t="n">
        <v>42675</v>
      </c>
      <c r="C33" s="48" t="inlineStr">
        <is>
          <t>Nov</t>
        </is>
      </c>
      <c r="D33" s="30" t="n">
        <v>915.1428000000001</v>
      </c>
      <c r="E33" s="30" t="n">
        <v>867.679</v>
      </c>
      <c r="F33" s="30" t="n">
        <v>2559.39953</v>
      </c>
    </row>
    <row r="34">
      <c r="A34" s="48" t="inlineStr">
        <is>
          <t>2016/17</t>
        </is>
      </c>
      <c r="B34" s="49" t="n">
        <v>42705</v>
      </c>
      <c r="C34" s="48" t="inlineStr">
        <is>
          <t>Dec</t>
        </is>
      </c>
      <c r="D34" s="30" t="n">
        <v>849.8555</v>
      </c>
      <c r="E34" s="30" t="n">
        <v>1012.059</v>
      </c>
      <c r="F34" s="30" t="n">
        <v>2088.181545</v>
      </c>
    </row>
    <row r="35">
      <c r="A35" s="48" t="inlineStr">
        <is>
          <t>2016/17</t>
        </is>
      </c>
      <c r="B35" s="49" t="n">
        <v>42736</v>
      </c>
      <c r="C35" s="48" t="inlineStr">
        <is>
          <t>Jan</t>
        </is>
      </c>
      <c r="D35" s="30" t="n">
        <v>1183.1788</v>
      </c>
      <c r="E35" s="30" t="n">
        <v>1391.628</v>
      </c>
      <c r="F35" s="30" t="n">
        <v>2532.30057</v>
      </c>
    </row>
    <row r="36">
      <c r="A36" s="48" t="inlineStr">
        <is>
          <t>2016/17</t>
        </is>
      </c>
      <c r="B36" s="49" t="n">
        <v>42767</v>
      </c>
      <c r="C36" s="48" t="inlineStr">
        <is>
          <t>Feb</t>
        </is>
      </c>
      <c r="D36" s="30" t="n">
        <v>945.1365</v>
      </c>
      <c r="E36" s="30" t="n">
        <v>711.079</v>
      </c>
      <c r="F36" s="30" t="n">
        <v>2018.029994</v>
      </c>
    </row>
    <row r="37">
      <c r="A37" s="48" t="inlineStr">
        <is>
          <t>2016/17</t>
        </is>
      </c>
      <c r="B37" s="49" t="n">
        <v>42795</v>
      </c>
      <c r="C37" s="48" t="inlineStr">
        <is>
          <t>Mar</t>
        </is>
      </c>
      <c r="D37" s="30" t="n">
        <v>1305.7076</v>
      </c>
      <c r="E37" s="30" t="n">
        <v>1158.312</v>
      </c>
      <c r="F37" s="30" t="n">
        <v>2247.705554</v>
      </c>
    </row>
    <row r="38">
      <c r="A38" s="48" t="inlineStr">
        <is>
          <t>2016/17</t>
        </is>
      </c>
      <c r="B38" s="49" t="n">
        <v>42826</v>
      </c>
      <c r="C38" s="48" t="inlineStr">
        <is>
          <t>Apr</t>
        </is>
      </c>
      <c r="D38" s="30" t="n">
        <v>809.6794</v>
      </c>
      <c r="E38" s="30" t="n">
        <v>1328.491</v>
      </c>
      <c r="F38" s="30" t="n">
        <v>2471.83693</v>
      </c>
    </row>
    <row r="39">
      <c r="A39" s="48" t="inlineStr">
        <is>
          <t>2016/17</t>
        </is>
      </c>
      <c r="B39" s="49" t="n">
        <v>42856</v>
      </c>
      <c r="C39" s="48" t="inlineStr">
        <is>
          <t>May</t>
        </is>
      </c>
      <c r="D39" s="30" t="n">
        <v>716.3613</v>
      </c>
      <c r="E39" s="30" t="n">
        <v>1629.517</v>
      </c>
      <c r="F39" s="30" t="n">
        <v>2737.798775</v>
      </c>
    </row>
    <row r="40">
      <c r="A40" s="48" t="inlineStr">
        <is>
          <t>2016/17</t>
        </is>
      </c>
      <c r="B40" s="49" t="n">
        <v>42887</v>
      </c>
      <c r="C40" s="48" t="inlineStr">
        <is>
          <t>Jun</t>
        </is>
      </c>
      <c r="D40" s="30" t="n">
        <v>758.0388</v>
      </c>
      <c r="E40" s="30" t="n">
        <v>1391.026</v>
      </c>
      <c r="F40" s="30" t="n">
        <v>2543.95471</v>
      </c>
    </row>
    <row r="41">
      <c r="A41" s="48" t="inlineStr">
        <is>
          <t>2016/17</t>
        </is>
      </c>
      <c r="B41" s="49" t="n">
        <v>42917</v>
      </c>
      <c r="C41" s="48" t="inlineStr">
        <is>
          <t>Jul</t>
        </is>
      </c>
      <c r="D41" s="30" t="n">
        <v>695.3107</v>
      </c>
      <c r="E41" s="30" t="n">
        <v>1156.016</v>
      </c>
      <c r="F41" s="30" t="n">
        <v>2707.422305</v>
      </c>
    </row>
    <row r="42">
      <c r="A42" s="48" t="inlineStr">
        <is>
          <t>2016/17</t>
        </is>
      </c>
      <c r="B42" s="49" t="n">
        <v>42948</v>
      </c>
      <c r="C42" s="48" t="inlineStr">
        <is>
          <t>Aug</t>
        </is>
      </c>
      <c r="D42" s="30" t="n">
        <v>787.904</v>
      </c>
      <c r="E42" s="30" t="n">
        <v>1226.536</v>
      </c>
      <c r="F42" s="30" t="n">
        <v>2674.83553</v>
      </c>
    </row>
    <row r="43">
      <c r="A43" s="48" t="inlineStr">
        <is>
          <t>2016/17</t>
        </is>
      </c>
      <c r="B43" s="49" t="n">
        <v>42979</v>
      </c>
      <c r="C43" s="48" t="inlineStr">
        <is>
          <t>Sep</t>
        </is>
      </c>
      <c r="D43" s="30" t="n">
        <v>616.3803</v>
      </c>
      <c r="E43" s="30" t="n">
        <v>1163.267</v>
      </c>
      <c r="F43" s="30" t="n">
        <v>2221.728211</v>
      </c>
    </row>
    <row r="44">
      <c r="A44" s="48" t="inlineStr">
        <is>
          <t>2017/18</t>
        </is>
      </c>
      <c r="B44" s="49" t="n">
        <v>43009</v>
      </c>
      <c r="C44" s="48" t="inlineStr">
        <is>
          <t>Oct</t>
        </is>
      </c>
      <c r="D44" s="30" t="n">
        <v>700.6146</v>
      </c>
      <c r="E44" s="30" t="n">
        <v>1275.825</v>
      </c>
      <c r="F44" s="30" t="n">
        <v>2223.875025</v>
      </c>
    </row>
    <row r="45">
      <c r="A45" s="48" t="inlineStr">
        <is>
          <t>2017/18</t>
        </is>
      </c>
      <c r="B45" s="49" t="n">
        <v>43040</v>
      </c>
      <c r="C45" s="48" t="inlineStr">
        <is>
          <t>Nov</t>
        </is>
      </c>
      <c r="D45" s="30" t="n">
        <v>999.3419</v>
      </c>
      <c r="E45" s="30" t="n">
        <v>1071.896</v>
      </c>
      <c r="F45" s="30" t="n">
        <v>2296.810068</v>
      </c>
    </row>
    <row r="46">
      <c r="A46" s="48" t="inlineStr">
        <is>
          <t>2017/18</t>
        </is>
      </c>
      <c r="B46" s="49" t="n">
        <v>43070</v>
      </c>
      <c r="C46" s="48" t="inlineStr">
        <is>
          <t>Dec</t>
        </is>
      </c>
      <c r="D46" s="30" t="n">
        <v>1067.0601</v>
      </c>
      <c r="E46" s="30" t="n">
        <v>674.062</v>
      </c>
      <c r="F46" s="30" t="n">
        <v>1586.22705</v>
      </c>
    </row>
    <row r="47">
      <c r="A47" s="48" t="inlineStr">
        <is>
          <t>2017/18</t>
        </is>
      </c>
      <c r="B47" s="49" t="n">
        <v>43101</v>
      </c>
      <c r="C47" s="48" t="inlineStr">
        <is>
          <t>Jan</t>
        </is>
      </c>
      <c r="D47" s="30" t="n">
        <v>1060.1816</v>
      </c>
      <c r="E47" s="30" t="n">
        <v>1127.836</v>
      </c>
      <c r="F47" s="30" t="n">
        <v>2052.183665</v>
      </c>
    </row>
    <row r="48">
      <c r="A48" s="48" t="inlineStr">
        <is>
          <t>2017/18</t>
        </is>
      </c>
      <c r="B48" s="49" t="n">
        <v>43132</v>
      </c>
      <c r="C48" s="48" t="inlineStr">
        <is>
          <t>Feb</t>
        </is>
      </c>
      <c r="D48" s="30" t="n">
        <v>1114.3423</v>
      </c>
      <c r="E48" s="30" t="n">
        <v>1354.676</v>
      </c>
      <c r="F48" s="30" t="n">
        <v>1766.41842</v>
      </c>
    </row>
    <row r="49">
      <c r="A49" s="48" t="inlineStr">
        <is>
          <t>2017/18</t>
        </is>
      </c>
      <c r="B49" s="49" t="n">
        <v>43160</v>
      </c>
      <c r="C49" s="48" t="inlineStr">
        <is>
          <t>Mar</t>
        </is>
      </c>
      <c r="D49" s="30" t="n">
        <v>1198.701</v>
      </c>
      <c r="E49" s="30" t="n">
        <v>1323.292</v>
      </c>
      <c r="F49" s="30" t="n">
        <v>1983.248665</v>
      </c>
    </row>
    <row r="50">
      <c r="A50" s="48" t="inlineStr">
        <is>
          <t>2017/18</t>
        </is>
      </c>
      <c r="B50" s="49" t="n">
        <v>43191</v>
      </c>
      <c r="C50" s="48" t="inlineStr">
        <is>
          <t>Apr</t>
        </is>
      </c>
      <c r="D50" s="30" t="n">
        <v>1092.3976</v>
      </c>
      <c r="E50" s="30" t="n">
        <v>1552.538</v>
      </c>
      <c r="F50" s="30" t="n">
        <v>1959.40182</v>
      </c>
    </row>
    <row r="51">
      <c r="A51" s="48" t="inlineStr">
        <is>
          <t>2017/18</t>
        </is>
      </c>
      <c r="B51" s="49" t="n">
        <v>43221</v>
      </c>
      <c r="C51" s="48" t="inlineStr">
        <is>
          <t>May</t>
        </is>
      </c>
      <c r="D51" s="30" t="n">
        <v>1146.2723</v>
      </c>
      <c r="E51" s="30" t="n">
        <v>1652.906</v>
      </c>
      <c r="F51" s="30" t="n">
        <v>2305.009214</v>
      </c>
    </row>
    <row r="52">
      <c r="A52" s="48" t="inlineStr">
        <is>
          <t>2017/18</t>
        </is>
      </c>
      <c r="B52" s="49" t="n">
        <v>43252</v>
      </c>
      <c r="C52" s="48" t="inlineStr">
        <is>
          <t>Jun</t>
        </is>
      </c>
      <c r="D52" s="30" t="n">
        <v>1240.7723</v>
      </c>
      <c r="E52" s="30" t="n">
        <v>1559.643</v>
      </c>
      <c r="F52" s="30" t="n">
        <v>2083.76724</v>
      </c>
    </row>
    <row r="53">
      <c r="A53" s="48" t="inlineStr">
        <is>
          <t>2017/18</t>
        </is>
      </c>
      <c r="B53" s="49" t="n">
        <v>43282</v>
      </c>
      <c r="C53" s="48" t="inlineStr">
        <is>
          <t>Jul</t>
        </is>
      </c>
      <c r="D53" s="30" t="n">
        <v>954.8430999999999</v>
      </c>
      <c r="E53" s="30" t="n">
        <v>1729.626</v>
      </c>
      <c r="F53" s="30" t="n">
        <v>2013.916598</v>
      </c>
    </row>
    <row r="54">
      <c r="A54" s="48" t="inlineStr">
        <is>
          <t>2017/18</t>
        </is>
      </c>
      <c r="B54" s="49" t="n">
        <v>43313</v>
      </c>
      <c r="C54" s="48" t="inlineStr">
        <is>
          <t>Aug</t>
        </is>
      </c>
      <c r="D54" s="30" t="n">
        <v>1076.2195</v>
      </c>
      <c r="E54" s="30" t="n">
        <v>1455.281</v>
      </c>
      <c r="F54" s="30" t="n">
        <v>1979.0604</v>
      </c>
    </row>
    <row r="55">
      <c r="A55" s="48" t="inlineStr">
        <is>
          <t>2017/18</t>
        </is>
      </c>
      <c r="B55" s="49" t="n">
        <v>43344</v>
      </c>
      <c r="C55" s="48" t="inlineStr">
        <is>
          <t>Sep</t>
        </is>
      </c>
      <c r="D55" s="30" t="n">
        <v>927.9739000000001</v>
      </c>
      <c r="E55" s="30" t="n">
        <v>1254.225</v>
      </c>
      <c r="F55" s="30" t="n">
        <v>2257.980922</v>
      </c>
    </row>
    <row r="56">
      <c r="A56" s="48" t="inlineStr">
        <is>
          <t>2018/19</t>
        </is>
      </c>
      <c r="B56" s="49" t="n">
        <v>43374</v>
      </c>
      <c r="C56" s="48" t="inlineStr">
        <is>
          <t>Oct</t>
        </is>
      </c>
      <c r="D56" s="30" t="n">
        <v>991.5756</v>
      </c>
      <c r="E56" s="30" t="n">
        <v>1122.789</v>
      </c>
      <c r="F56" s="30" t="n">
        <v>2165.358025</v>
      </c>
    </row>
    <row r="57">
      <c r="A57" s="48" t="inlineStr">
        <is>
          <t>2018/19</t>
        </is>
      </c>
      <c r="B57" s="49" t="n">
        <v>43405</v>
      </c>
      <c r="C57" s="48" t="inlineStr">
        <is>
          <t>Nov</t>
        </is>
      </c>
      <c r="D57" s="30" t="n">
        <v>1030.7607</v>
      </c>
      <c r="E57" s="30" t="n">
        <v>1047.499</v>
      </c>
      <c r="F57" s="30" t="n">
        <v>1931.54455</v>
      </c>
    </row>
    <row r="58">
      <c r="A58" s="48" t="inlineStr">
        <is>
          <t>2018/19</t>
        </is>
      </c>
      <c r="B58" s="49" t="n">
        <v>43435</v>
      </c>
      <c r="C58" s="48" t="inlineStr">
        <is>
          <t>Dec</t>
        </is>
      </c>
      <c r="D58" s="30" t="n">
        <v>1018.1319</v>
      </c>
      <c r="E58" s="30" t="n">
        <v>1492.239</v>
      </c>
      <c r="F58" s="30" t="n">
        <v>1724.29141</v>
      </c>
    </row>
    <row r="59">
      <c r="A59" s="48" t="inlineStr">
        <is>
          <t>2018/19</t>
        </is>
      </c>
      <c r="B59" s="49" t="n">
        <v>43466</v>
      </c>
      <c r="C59" s="48" t="inlineStr">
        <is>
          <t>Jan</t>
        </is>
      </c>
      <c r="D59" s="30" t="n">
        <v>1382.244</v>
      </c>
      <c r="E59" s="30" t="n">
        <v>1236.485</v>
      </c>
      <c r="F59" s="30" t="n">
        <v>1912.297295</v>
      </c>
    </row>
    <row r="60">
      <c r="A60" s="48" t="inlineStr">
        <is>
          <t>2018/19</t>
        </is>
      </c>
      <c r="B60" s="49" t="n">
        <v>43497</v>
      </c>
      <c r="C60" s="48" t="inlineStr">
        <is>
          <t>Feb</t>
        </is>
      </c>
      <c r="D60" s="30" t="n">
        <v>976.7021</v>
      </c>
      <c r="E60" s="30" t="n">
        <v>904.799</v>
      </c>
      <c r="F60" s="30" t="n">
        <v>1626.71766</v>
      </c>
    </row>
    <row r="61">
      <c r="A61" s="48" t="inlineStr">
        <is>
          <t>2018/19</t>
        </is>
      </c>
      <c r="B61" s="49" t="n">
        <v>43525</v>
      </c>
      <c r="C61" s="48" t="inlineStr">
        <is>
          <t>Mar</t>
        </is>
      </c>
      <c r="D61" s="30" t="n">
        <v>1056.7545</v>
      </c>
      <c r="E61" s="30" t="n">
        <v>1409.273</v>
      </c>
      <c r="F61" s="30" t="n">
        <v>2150.39136</v>
      </c>
    </row>
    <row r="62">
      <c r="A62" s="48" t="inlineStr">
        <is>
          <t>2018/19</t>
        </is>
      </c>
      <c r="B62" s="49" t="n">
        <v>43556</v>
      </c>
      <c r="C62" s="48" t="inlineStr">
        <is>
          <t>Apr</t>
        </is>
      </c>
      <c r="D62" s="30" t="n">
        <v>1241.0418</v>
      </c>
      <c r="E62" s="30" t="n">
        <v>1443.682</v>
      </c>
      <c r="F62" s="30" t="n">
        <v>2380.25381</v>
      </c>
    </row>
    <row r="63">
      <c r="A63" s="48" t="inlineStr">
        <is>
          <t>2018/19</t>
        </is>
      </c>
      <c r="B63" s="49" t="n">
        <v>43586</v>
      </c>
      <c r="C63" s="48" t="inlineStr">
        <is>
          <t>May</t>
        </is>
      </c>
      <c r="D63" s="30" t="n">
        <v>955.8670999999999</v>
      </c>
      <c r="E63" s="30" t="n">
        <v>1612.133</v>
      </c>
      <c r="F63" s="30" t="n">
        <v>2796.567475</v>
      </c>
    </row>
    <row r="64">
      <c r="A64" s="48" t="inlineStr">
        <is>
          <t>2018/19</t>
        </is>
      </c>
      <c r="B64" s="49" t="n">
        <v>43617</v>
      </c>
      <c r="C64" s="48" t="inlineStr">
        <is>
          <t>Jun</t>
        </is>
      </c>
      <c r="D64" s="30" t="n">
        <v>733.6165999999999</v>
      </c>
      <c r="E64" s="30" t="n">
        <v>1629.259</v>
      </c>
      <c r="F64" s="30" t="n">
        <v>2686.056177</v>
      </c>
    </row>
    <row r="65">
      <c r="A65" s="48" t="inlineStr">
        <is>
          <t>2018/19</t>
        </is>
      </c>
      <c r="B65" s="49" t="n">
        <v>43647</v>
      </c>
      <c r="C65" s="48" t="inlineStr">
        <is>
          <t>Jul</t>
        </is>
      </c>
      <c r="D65" s="30" t="n">
        <v>798.2597</v>
      </c>
      <c r="E65" s="30" t="n">
        <v>1472.26</v>
      </c>
      <c r="F65" s="30" t="n">
        <v>2750.149853</v>
      </c>
    </row>
    <row r="66">
      <c r="A66" s="48" t="inlineStr">
        <is>
          <t>2018/19</t>
        </is>
      </c>
      <c r="B66" s="49" t="n">
        <v>43678</v>
      </c>
      <c r="C66" s="48" t="inlineStr">
        <is>
          <t>Aug</t>
        </is>
      </c>
      <c r="D66" s="30" t="n">
        <v>932.4851</v>
      </c>
      <c r="E66" s="30" t="n">
        <v>1355.702</v>
      </c>
      <c r="F66" s="30" t="n">
        <v>2139.836555</v>
      </c>
    </row>
    <row r="67">
      <c r="A67" s="48" t="inlineStr">
        <is>
          <t>2018/19</t>
        </is>
      </c>
      <c r="B67" s="49" t="n">
        <v>43709</v>
      </c>
      <c r="C67" s="48" t="inlineStr">
        <is>
          <t>Sep</t>
        </is>
      </c>
      <c r="D67" s="30" t="n">
        <v>847.4837</v>
      </c>
      <c r="E67" s="30" t="n">
        <v>1369.487</v>
      </c>
      <c r="F67" s="30" t="n">
        <v>2497.785148</v>
      </c>
    </row>
    <row r="68">
      <c r="A68" s="48" t="inlineStr">
        <is>
          <t>2019/20</t>
        </is>
      </c>
      <c r="B68" s="49" t="n">
        <v>43739</v>
      </c>
      <c r="C68" s="48" t="inlineStr">
        <is>
          <t>Oct</t>
        </is>
      </c>
      <c r="D68" s="30" t="n">
        <v>1011.0286</v>
      </c>
      <c r="E68" s="30" t="n">
        <v>1426.709</v>
      </c>
      <c r="F68" s="30" t="n">
        <v>2760.77552</v>
      </c>
    </row>
    <row r="69">
      <c r="A69" s="48" t="inlineStr">
        <is>
          <t>2019/20</t>
        </is>
      </c>
      <c r="B69" s="49" t="n">
        <v>43770</v>
      </c>
      <c r="C69" s="48" t="inlineStr">
        <is>
          <t>Nov</t>
        </is>
      </c>
      <c r="D69" s="30" t="n">
        <v>1119.6944</v>
      </c>
      <c r="E69" s="30" t="n">
        <v>1185.814</v>
      </c>
      <c r="F69" s="30" t="n">
        <v>2225.87987</v>
      </c>
    </row>
    <row r="70">
      <c r="A70" s="48" t="inlineStr">
        <is>
          <t>2019/20</t>
        </is>
      </c>
      <c r="B70" s="49" t="n">
        <v>43800</v>
      </c>
      <c r="C70" s="48" t="inlineStr">
        <is>
          <t>Dec</t>
        </is>
      </c>
      <c r="D70" s="30" t="n">
        <v>975.3183</v>
      </c>
      <c r="E70" s="30" t="n">
        <v>1637.259</v>
      </c>
      <c r="F70" s="30" t="n">
        <v>1944.631675</v>
      </c>
    </row>
    <row r="71">
      <c r="A71" s="48" t="inlineStr">
        <is>
          <t>2019/20</t>
        </is>
      </c>
      <c r="B71" s="49" t="n">
        <v>43831</v>
      </c>
      <c r="C71" s="48" t="inlineStr">
        <is>
          <t>Jan</t>
        </is>
      </c>
      <c r="D71" s="30" t="n">
        <v>957.5629</v>
      </c>
      <c r="E71" s="30" t="n">
        <v>1016.429</v>
      </c>
      <c r="F71" s="30" t="n">
        <v>1654.599185</v>
      </c>
    </row>
    <row r="72">
      <c r="A72" s="48" t="inlineStr">
        <is>
          <t>2019/20</t>
        </is>
      </c>
      <c r="B72" s="49" t="n">
        <v>43862</v>
      </c>
      <c r="C72" s="48" t="inlineStr">
        <is>
          <t>Feb</t>
        </is>
      </c>
      <c r="D72" s="30" t="n">
        <v>1212.9504</v>
      </c>
      <c r="E72" s="30" t="n">
        <v>765.954</v>
      </c>
      <c r="F72" s="30" t="n">
        <v>1518.434205</v>
      </c>
    </row>
    <row r="73">
      <c r="A73" s="48" t="inlineStr">
        <is>
          <t>2019/20</t>
        </is>
      </c>
      <c r="B73" s="49" t="n">
        <v>43891</v>
      </c>
      <c r="C73" s="48" t="inlineStr">
        <is>
          <t>Mar</t>
        </is>
      </c>
      <c r="D73" s="30" t="n">
        <v>1234.8974</v>
      </c>
      <c r="E73" s="30" t="n">
        <v>1516.653</v>
      </c>
      <c r="F73" s="30" t="n">
        <v>1778.67764</v>
      </c>
    </row>
    <row r="74">
      <c r="A74" s="48" t="inlineStr">
        <is>
          <t>2019/20</t>
        </is>
      </c>
      <c r="B74" s="49" t="n">
        <v>43922</v>
      </c>
      <c r="C74" s="48" t="inlineStr">
        <is>
          <t>Apr</t>
        </is>
      </c>
      <c r="D74" s="30" t="n">
        <v>1084.8623</v>
      </c>
      <c r="E74" s="30" t="n">
        <v>1669.909</v>
      </c>
      <c r="F74" s="30" t="n">
        <v>2092.122247</v>
      </c>
    </row>
    <row r="75">
      <c r="A75" s="48" t="inlineStr">
        <is>
          <t>2019/20</t>
        </is>
      </c>
      <c r="B75" s="49" t="n">
        <v>43952</v>
      </c>
      <c r="C75" s="48" t="inlineStr">
        <is>
          <t>May</t>
        </is>
      </c>
      <c r="D75" s="30" t="n">
        <v>964.9724</v>
      </c>
      <c r="E75" s="30" t="n">
        <v>1880.849</v>
      </c>
      <c r="F75" s="30" t="n">
        <v>2511.61624</v>
      </c>
    </row>
    <row r="76">
      <c r="A76" s="48" t="inlineStr">
        <is>
          <t>2019/20</t>
        </is>
      </c>
      <c r="B76" s="49" t="n">
        <v>43983</v>
      </c>
      <c r="C76" s="48" t="inlineStr">
        <is>
          <t>Jun</t>
        </is>
      </c>
      <c r="D76" s="30" t="n">
        <v>982.9979000000001</v>
      </c>
      <c r="E76" s="30" t="n">
        <v>1633.747</v>
      </c>
      <c r="F76" s="30" t="n">
        <v>2598.01766</v>
      </c>
    </row>
    <row r="77">
      <c r="A77" s="48" t="inlineStr">
        <is>
          <t>2019/20</t>
        </is>
      </c>
      <c r="B77" s="49" t="n">
        <v>44013</v>
      </c>
      <c r="C77" s="48" t="inlineStr">
        <is>
          <t>Jul</t>
        </is>
      </c>
      <c r="D77" s="30" t="n">
        <v>991.5619</v>
      </c>
      <c r="E77" s="30" t="n">
        <v>1713.606</v>
      </c>
      <c r="F77" s="30" t="n">
        <v>2149.13341</v>
      </c>
    </row>
    <row r="78">
      <c r="A78" s="48" t="inlineStr">
        <is>
          <t>2019/20</t>
        </is>
      </c>
      <c r="B78" s="49" t="n">
        <v>44044</v>
      </c>
      <c r="C78" s="48" t="inlineStr">
        <is>
          <t>Aug</t>
        </is>
      </c>
      <c r="D78" s="30" t="n">
        <v>1000.0357</v>
      </c>
      <c r="E78" s="30" t="n">
        <v>1481.628</v>
      </c>
      <c r="F78" s="30" t="n">
        <v>2038.016773</v>
      </c>
    </row>
    <row r="79">
      <c r="A79" s="48" t="inlineStr">
        <is>
          <t>2019/20</t>
        </is>
      </c>
      <c r="B79" s="49" t="n">
        <v>44075</v>
      </c>
      <c r="C79" s="48" t="inlineStr">
        <is>
          <t>Sep</t>
        </is>
      </c>
      <c r="D79" s="30" t="n">
        <v>879.7468</v>
      </c>
      <c r="E79" s="30" t="n">
        <v>1571.788</v>
      </c>
      <c r="F79" s="30" t="n">
        <v>2179.456325</v>
      </c>
    </row>
    <row r="80">
      <c r="A80" s="48" t="inlineStr">
        <is>
          <t>2020/21</t>
        </is>
      </c>
      <c r="B80" s="49" t="n">
        <v>44105</v>
      </c>
      <c r="C80" s="48" t="inlineStr">
        <is>
          <t>Oct</t>
        </is>
      </c>
      <c r="D80" s="30" t="n">
        <v>992.3602</v>
      </c>
      <c r="E80" s="30" t="n">
        <v>1351.105</v>
      </c>
      <c r="F80" s="30" t="n">
        <v>2017.299048</v>
      </c>
    </row>
    <row r="81">
      <c r="A81" s="48" t="inlineStr">
        <is>
          <t>2020/21</t>
        </is>
      </c>
      <c r="B81" s="49" t="n">
        <v>44136</v>
      </c>
      <c r="C81" s="48" t="inlineStr">
        <is>
          <t>Nov</t>
        </is>
      </c>
      <c r="D81" s="30" t="n">
        <v>1141.6047</v>
      </c>
      <c r="E81" s="30" t="n">
        <v>1392.042</v>
      </c>
      <c r="F81" s="30" t="n">
        <v>1943.233344</v>
      </c>
    </row>
    <row r="82">
      <c r="A82" s="48" t="inlineStr">
        <is>
          <t>2020/21</t>
        </is>
      </c>
      <c r="B82" s="49" t="n">
        <v>44166</v>
      </c>
      <c r="C82" s="48" t="inlineStr">
        <is>
          <t>Dec</t>
        </is>
      </c>
      <c r="D82" s="30" t="n">
        <v>1304.5265</v>
      </c>
      <c r="E82" s="30" t="n">
        <v>944.832</v>
      </c>
      <c r="F82" s="30" t="n">
        <v>642.489875</v>
      </c>
    </row>
    <row r="83">
      <c r="A83" s="48" t="inlineStr">
        <is>
          <t>2020/21</t>
        </is>
      </c>
      <c r="B83" s="49" t="n">
        <v>44197</v>
      </c>
      <c r="C83" s="48" t="inlineStr">
        <is>
          <t>Jan</t>
        </is>
      </c>
      <c r="D83" s="30" t="n">
        <v>1269.2266</v>
      </c>
      <c r="E83" s="30" t="n">
        <v>1024.426</v>
      </c>
      <c r="F83" s="30" t="n">
        <v>2393.499209</v>
      </c>
    </row>
    <row r="84">
      <c r="A84" s="48" t="inlineStr">
        <is>
          <t>2020/21</t>
        </is>
      </c>
      <c r="B84" s="49" t="n">
        <v>44228</v>
      </c>
      <c r="C84" s="48" t="inlineStr">
        <is>
          <t>Feb</t>
        </is>
      </c>
      <c r="D84" s="30" t="n">
        <v>1146.4635</v>
      </c>
      <c r="E84" s="30" t="n">
        <v>1040.233</v>
      </c>
      <c r="F84" s="30" t="n">
        <v>1865.224705</v>
      </c>
    </row>
    <row r="85">
      <c r="A85" s="48" t="inlineStr">
        <is>
          <t>2020/21</t>
        </is>
      </c>
      <c r="B85" s="49" t="n">
        <v>44256</v>
      </c>
      <c r="C85" s="48" t="inlineStr">
        <is>
          <t>Mar</t>
        </is>
      </c>
      <c r="D85" s="30" t="n">
        <v>1185.5998</v>
      </c>
      <c r="E85" s="30" t="n">
        <v>1184.649</v>
      </c>
      <c r="F85" s="30" t="n">
        <v>2280.09344</v>
      </c>
    </row>
    <row r="86">
      <c r="A86" s="48" t="inlineStr">
        <is>
          <t>2020/21</t>
        </is>
      </c>
      <c r="B86" s="49" t="n">
        <v>44287</v>
      </c>
      <c r="C86" s="48" t="inlineStr">
        <is>
          <t>Apr</t>
        </is>
      </c>
      <c r="D86" s="30" t="n">
        <v>931.6741</v>
      </c>
      <c r="E86" s="30" t="n">
        <v>1390.985</v>
      </c>
      <c r="F86" s="30" t="n">
        <v>2874.77169</v>
      </c>
    </row>
    <row r="87">
      <c r="A87" s="48" t="inlineStr">
        <is>
          <t>2020/21</t>
        </is>
      </c>
      <c r="B87" s="49" t="n">
        <v>44317</v>
      </c>
      <c r="C87" s="48" t="inlineStr">
        <is>
          <t>May</t>
        </is>
      </c>
      <c r="D87" s="30" t="n">
        <v>934.5591999999999</v>
      </c>
      <c r="E87" s="30" t="n">
        <v>1765.245</v>
      </c>
      <c r="F87" s="30" t="n">
        <v>2363.66594</v>
      </c>
    </row>
    <row r="88">
      <c r="A88" s="48" t="inlineStr">
        <is>
          <t>2020/21</t>
        </is>
      </c>
      <c r="B88" s="49" t="n">
        <v>44348</v>
      </c>
      <c r="C88" s="48" t="inlineStr">
        <is>
          <t>Jun</t>
        </is>
      </c>
      <c r="D88" s="30" t="n">
        <v>780.1432</v>
      </c>
      <c r="E88" s="30" t="n">
        <v>1704.468</v>
      </c>
      <c r="F88" s="30" t="n">
        <v>2602.330095</v>
      </c>
    </row>
    <row r="89">
      <c r="A89" s="48" t="inlineStr">
        <is>
          <t>2020/21</t>
        </is>
      </c>
      <c r="B89" s="49" t="n">
        <v>44378</v>
      </c>
      <c r="C89" s="48" t="inlineStr">
        <is>
          <t>Jul</t>
        </is>
      </c>
      <c r="D89" s="30" t="n">
        <v>957.3611999999999</v>
      </c>
      <c r="E89" s="30" t="n">
        <v>1934.769</v>
      </c>
      <c r="F89" s="30" t="n">
        <v>2463.702285</v>
      </c>
    </row>
    <row r="90">
      <c r="A90" s="48" t="inlineStr">
        <is>
          <t>2020/21</t>
        </is>
      </c>
      <c r="B90" s="49" t="n">
        <v>44409</v>
      </c>
      <c r="C90" s="48" t="inlineStr">
        <is>
          <t>Aug</t>
        </is>
      </c>
      <c r="D90" s="30" t="n">
        <v>839.5761</v>
      </c>
      <c r="E90" s="30" t="n">
        <v>1544.93</v>
      </c>
      <c r="F90" s="30" t="n">
        <v>2461.904327</v>
      </c>
    </row>
    <row r="91">
      <c r="A91" s="48" t="inlineStr">
        <is>
          <t>2020/21</t>
        </is>
      </c>
      <c r="B91" s="49" t="n">
        <v>44440</v>
      </c>
      <c r="C91" s="48" t="inlineStr">
        <is>
          <t>Sep</t>
        </is>
      </c>
      <c r="D91" s="30" t="n">
        <v>756.2378</v>
      </c>
      <c r="E91" s="30" t="n">
        <v>1298.996</v>
      </c>
      <c r="F91" s="30" t="n">
        <v>2534.651748</v>
      </c>
    </row>
    <row r="92">
      <c r="A92" s="48" t="inlineStr">
        <is>
          <t>2021/22</t>
        </is>
      </c>
      <c r="B92" s="49" t="n">
        <v>44470</v>
      </c>
      <c r="C92" s="48" t="inlineStr">
        <is>
          <t>Oct</t>
        </is>
      </c>
      <c r="D92" s="30" t="n">
        <v>975.8234</v>
      </c>
      <c r="E92" s="30" t="n">
        <v>1318.903</v>
      </c>
      <c r="F92" s="30" t="n">
        <v>2247.559652</v>
      </c>
    </row>
    <row r="93">
      <c r="A93" s="48" t="inlineStr">
        <is>
          <t>2021/22</t>
        </is>
      </c>
      <c r="B93" s="49" t="n">
        <v>44501</v>
      </c>
      <c r="C93" s="48" t="inlineStr">
        <is>
          <t>Nov</t>
        </is>
      </c>
      <c r="D93" s="30" t="n">
        <v>1127.6282</v>
      </c>
      <c r="E93" s="30" t="n">
        <v>1271.726</v>
      </c>
      <c r="F93" s="30" t="n">
        <v>1878.681649</v>
      </c>
    </row>
    <row r="94">
      <c r="A94" s="48" t="inlineStr">
        <is>
          <t>2021/22</t>
        </is>
      </c>
      <c r="B94" s="49" t="n">
        <v>44531</v>
      </c>
      <c r="C94" s="48" t="inlineStr">
        <is>
          <t>Dec</t>
        </is>
      </c>
      <c r="D94" s="30" t="n">
        <v>1263.1724</v>
      </c>
      <c r="E94" s="30" t="n">
        <v>1669.969</v>
      </c>
      <c r="F94" s="30" t="n">
        <v>2010.374248</v>
      </c>
    </row>
    <row r="95">
      <c r="A95" s="48" t="inlineStr">
        <is>
          <t>2021/22</t>
        </is>
      </c>
      <c r="B95" s="49" t="n">
        <v>44562</v>
      </c>
      <c r="C95" s="48" t="inlineStr">
        <is>
          <t>Jan</t>
        </is>
      </c>
      <c r="D95" s="30" t="n">
        <v>1155.9495</v>
      </c>
      <c r="E95" s="30" t="n">
        <v>1454.836</v>
      </c>
      <c r="F95" s="30" t="n">
        <v>1365.403636</v>
      </c>
    </row>
    <row r="96">
      <c r="A96" s="48" t="inlineStr">
        <is>
          <t>2021/22</t>
        </is>
      </c>
      <c r="B96" s="49" t="n">
        <v>44593</v>
      </c>
      <c r="C96" s="48" t="inlineStr">
        <is>
          <t>Feb</t>
        </is>
      </c>
      <c r="D96" s="30" t="n">
        <v>986.6953000000001</v>
      </c>
      <c r="E96" s="30" t="n">
        <v>1561.007</v>
      </c>
      <c r="F96" s="30" t="n">
        <v>1849.625255</v>
      </c>
    </row>
    <row r="97">
      <c r="A97" s="48" t="inlineStr">
        <is>
          <t>2021/22</t>
        </is>
      </c>
      <c r="B97" s="49" t="n">
        <v>44621</v>
      </c>
      <c r="C97" s="48" t="inlineStr">
        <is>
          <t>Mar</t>
        </is>
      </c>
      <c r="D97" s="30" t="n">
        <v>1117.4251</v>
      </c>
      <c r="E97" s="30" t="n">
        <v>1464.383</v>
      </c>
      <c r="F97" s="30" t="n">
        <v>2039.57692</v>
      </c>
    </row>
    <row r="98">
      <c r="A98" s="48" t="inlineStr">
        <is>
          <t>2021/22</t>
        </is>
      </c>
      <c r="B98" s="49" t="n">
        <v>44652</v>
      </c>
      <c r="C98" s="48" t="inlineStr">
        <is>
          <t>Apr</t>
        </is>
      </c>
      <c r="D98" s="30" t="n">
        <v>1054.8269</v>
      </c>
      <c r="E98" s="30" t="n">
        <v>1657.963</v>
      </c>
      <c r="F98" s="30" t="n">
        <v>2610.121285</v>
      </c>
    </row>
    <row r="99">
      <c r="A99" s="48" t="inlineStr">
        <is>
          <t>2021/22</t>
        </is>
      </c>
      <c r="B99" s="49" t="n">
        <v>44682</v>
      </c>
      <c r="C99" s="48" t="inlineStr">
        <is>
          <t>May</t>
        </is>
      </c>
      <c r="D99" s="30" t="n">
        <v>999.5775</v>
      </c>
      <c r="E99" s="30" t="n">
        <v>1957.104</v>
      </c>
      <c r="F99" s="30" t="n">
        <v>2527.148829</v>
      </c>
    </row>
    <row r="100">
      <c r="A100" s="48" t="inlineStr">
        <is>
          <t>2021/22</t>
        </is>
      </c>
      <c r="B100" s="49" t="n">
        <v>44713</v>
      </c>
      <c r="C100" s="48" t="inlineStr">
        <is>
          <t>Jun</t>
        </is>
      </c>
      <c r="D100" s="30" t="n">
        <v>1028.2029</v>
      </c>
      <c r="E100" s="30" t="n">
        <v>2192.121</v>
      </c>
      <c r="F100" s="30" t="n">
        <v>2600.79543</v>
      </c>
    </row>
    <row r="101">
      <c r="A101" s="48" t="inlineStr">
        <is>
          <t>2021/22</t>
        </is>
      </c>
      <c r="B101" s="49" t="n">
        <v>44743</v>
      </c>
      <c r="C101" s="48" t="inlineStr">
        <is>
          <t>Jul</t>
        </is>
      </c>
      <c r="D101" s="30" t="n">
        <v>832.7026999999999</v>
      </c>
      <c r="E101" s="30" t="n">
        <v>1950.923</v>
      </c>
      <c r="F101" s="30" t="n">
        <v>2348.23612</v>
      </c>
    </row>
    <row r="102">
      <c r="A102" s="48" t="inlineStr">
        <is>
          <t>2021/22</t>
        </is>
      </c>
      <c r="B102" s="49" t="n">
        <v>44774</v>
      </c>
      <c r="C102" s="48" t="inlineStr">
        <is>
          <t>Aug</t>
        </is>
      </c>
      <c r="D102" s="30" t="n">
        <v>806.898</v>
      </c>
      <c r="E102" s="30" t="n">
        <v>1812.7</v>
      </c>
      <c r="F102" s="30" t="n">
        <v>1681.499585</v>
      </c>
    </row>
    <row r="103">
      <c r="A103" s="48" t="inlineStr">
        <is>
          <t>2021/22</t>
        </is>
      </c>
      <c r="B103" s="49" t="n">
        <v>44805</v>
      </c>
      <c r="C103" s="48" t="inlineStr">
        <is>
          <t>Sep</t>
        </is>
      </c>
      <c r="D103" s="30" t="n">
        <v>806.5976999999999</v>
      </c>
      <c r="E103" s="30" t="n">
        <v>1895.292</v>
      </c>
      <c r="F103" s="30" t="n">
        <v>1586.869485</v>
      </c>
    </row>
    <row r="104">
      <c r="A104" s="48" t="inlineStr">
        <is>
          <t>2022/23</t>
        </is>
      </c>
      <c r="B104" s="49" t="n">
        <v>44835</v>
      </c>
      <c r="C104" s="48" t="inlineStr">
        <is>
          <t>Oct</t>
        </is>
      </c>
      <c r="D104" s="30" t="n">
        <v>848.9743000000001</v>
      </c>
      <c r="E104" s="30" t="n">
        <v>1757.371</v>
      </c>
      <c r="F104" s="30" t="n">
        <v>2212.54064</v>
      </c>
    </row>
    <row r="105">
      <c r="A105" s="48" t="inlineStr">
        <is>
          <t>2022/23</t>
        </is>
      </c>
      <c r="B105" s="49" t="n">
        <v>44866</v>
      </c>
      <c r="C105" s="48" t="inlineStr">
        <is>
          <t>Nov</t>
        </is>
      </c>
      <c r="D105" s="30" t="n">
        <v>1077.6172</v>
      </c>
      <c r="E105" s="30" t="n">
        <v>1509.507</v>
      </c>
      <c r="F105" s="30" t="n">
        <v>2327.44861</v>
      </c>
    </row>
    <row r="106">
      <c r="A106" s="48" t="inlineStr">
        <is>
          <t>2022/23</t>
        </is>
      </c>
      <c r="B106" s="49" t="n">
        <v>44896</v>
      </c>
      <c r="C106" s="48" t="inlineStr">
        <is>
          <t>Dec</t>
        </is>
      </c>
      <c r="D106" s="30" t="n">
        <v>1073.7941</v>
      </c>
      <c r="E106" s="30" t="n">
        <v>1140.129</v>
      </c>
      <c r="F106" s="30" t="n">
        <v>1978.76433</v>
      </c>
    </row>
    <row r="107">
      <c r="A107" s="48" t="inlineStr">
        <is>
          <t>2022/23</t>
        </is>
      </c>
      <c r="B107" s="49" t="n">
        <v>44927</v>
      </c>
      <c r="C107" s="48" t="inlineStr">
        <is>
          <t>Jan</t>
        </is>
      </c>
      <c r="D107" s="30" t="n">
        <v>1369.5563</v>
      </c>
      <c r="E107" s="30" t="n">
        <v>1398.87</v>
      </c>
      <c r="F107" s="30" t="n">
        <v>1133.53451</v>
      </c>
    </row>
    <row r="108">
      <c r="A108" s="48" t="inlineStr">
        <is>
          <t>2022/23</t>
        </is>
      </c>
      <c r="B108" s="49" t="n">
        <v>44958</v>
      </c>
      <c r="C108" s="48" t="inlineStr">
        <is>
          <t>Feb</t>
        </is>
      </c>
      <c r="D108" s="30" t="n">
        <v>902.8065</v>
      </c>
      <c r="E108" s="30" t="n">
        <v>1280.635</v>
      </c>
      <c r="F108" s="30" t="n">
        <v>999.435165</v>
      </c>
    </row>
    <row r="109">
      <c r="A109" s="48" t="inlineStr">
        <is>
          <t>2022/23</t>
        </is>
      </c>
      <c r="B109" s="49" t="n">
        <v>44986</v>
      </c>
      <c r="C109" s="48" t="inlineStr">
        <is>
          <t>Mar</t>
        </is>
      </c>
      <c r="D109" s="30" t="n">
        <v>1317.3938</v>
      </c>
      <c r="E109" s="30" t="n">
        <v>1861.992</v>
      </c>
      <c r="F109" s="30" t="n">
        <v>1160.668393</v>
      </c>
    </row>
    <row r="110">
      <c r="A110" s="48" t="inlineStr">
        <is>
          <t>2022/23</t>
        </is>
      </c>
      <c r="B110" s="49" t="n">
        <v>45017</v>
      </c>
      <c r="C110" s="48" t="inlineStr">
        <is>
          <t>Apr</t>
        </is>
      </c>
      <c r="D110" s="30" t="n">
        <v>1108.4489</v>
      </c>
      <c r="E110" s="30" t="n">
        <v>1569.605</v>
      </c>
      <c r="F110" s="30" t="n">
        <v>1705.422975</v>
      </c>
    </row>
    <row r="111">
      <c r="A111" s="48" t="inlineStr">
        <is>
          <t>2022/23</t>
        </is>
      </c>
      <c r="B111" s="49" t="n">
        <v>45047</v>
      </c>
      <c r="C111" s="48" t="inlineStr">
        <is>
          <t>May</t>
        </is>
      </c>
      <c r="D111" s="30" t="n">
        <v>1046.3437</v>
      </c>
      <c r="E111" s="30" t="n">
        <v>2651.743</v>
      </c>
      <c r="F111" s="30" t="n">
        <v>2111.759227</v>
      </c>
    </row>
    <row r="112">
      <c r="A112" s="48" t="inlineStr">
        <is>
          <t>2022/23</t>
        </is>
      </c>
      <c r="B112" s="49" t="n">
        <v>45078</v>
      </c>
      <c r="C112" s="48" t="inlineStr">
        <is>
          <t>Jun</t>
        </is>
      </c>
      <c r="D112" s="30" t="n">
        <v>1222.3919</v>
      </c>
      <c r="E112" s="30" t="n">
        <v>2005.754</v>
      </c>
      <c r="F112" s="30" t="n">
        <v>1660.694197</v>
      </c>
    </row>
    <row r="113">
      <c r="A113" s="48" t="inlineStr">
        <is>
          <t>2022/23</t>
        </is>
      </c>
      <c r="B113" s="49" t="n">
        <v>45108</v>
      </c>
      <c r="C113" s="48" t="inlineStr">
        <is>
          <t>Jul</t>
        </is>
      </c>
      <c r="D113" s="30" t="n">
        <v>1044.3718</v>
      </c>
      <c r="E113" s="30" t="n">
        <v>2159.34</v>
      </c>
      <c r="F113" s="30" t="n">
        <v>1518.615923</v>
      </c>
    </row>
    <row r="114">
      <c r="A114" s="48" t="inlineStr">
        <is>
          <t>2022/23</t>
        </is>
      </c>
      <c r="B114" s="49" t="n">
        <v>45139</v>
      </c>
      <c r="C114" s="48" t="inlineStr">
        <is>
          <t>Aug</t>
        </is>
      </c>
      <c r="D114" s="30" t="n">
        <v>1079.9816</v>
      </c>
      <c r="E114" s="30" t="n">
        <v>2370.015</v>
      </c>
      <c r="F114" s="30" t="n">
        <v>1482.98405</v>
      </c>
    </row>
    <row r="115">
      <c r="A115" s="48" t="inlineStr">
        <is>
          <t>2022/23</t>
        </is>
      </c>
      <c r="B115" s="49" t="n">
        <v>45170</v>
      </c>
      <c r="C115" s="48" t="inlineStr">
        <is>
          <t>Sep</t>
        </is>
      </c>
      <c r="D115" s="30" t="n">
        <v>978.0246999999999</v>
      </c>
      <c r="E115" s="30" t="n">
        <v>1627.898</v>
      </c>
      <c r="F115" s="30" t="n">
        <v>1051.576691</v>
      </c>
    </row>
    <row r="116">
      <c r="A116" s="48" t="inlineStr">
        <is>
          <t>2023/24</t>
        </is>
      </c>
      <c r="B116" s="49" t="n">
        <v>45200</v>
      </c>
      <c r="C116" s="48" t="inlineStr">
        <is>
          <t>Oct</t>
        </is>
      </c>
      <c r="D116" s="30" t="n">
        <v>1104.0377</v>
      </c>
      <c r="E116" s="30" t="n">
        <v>1856.084</v>
      </c>
      <c r="F116" s="30" t="n">
        <v>1121.707974</v>
      </c>
    </row>
    <row r="117">
      <c r="A117" s="48" t="inlineStr">
        <is>
          <t>2023/24</t>
        </is>
      </c>
      <c r="B117" s="49" t="n">
        <v>45231</v>
      </c>
      <c r="C117" s="48" t="inlineStr">
        <is>
          <t>Nov</t>
        </is>
      </c>
      <c r="D117" s="30" t="n">
        <v>1356.1397</v>
      </c>
      <c r="E117" s="30" t="n">
        <v>1817.724</v>
      </c>
      <c r="F117" s="30" t="n">
        <v>1116.955037</v>
      </c>
    </row>
    <row r="118">
      <c r="A118" s="48" t="inlineStr">
        <is>
          <t>2023/24</t>
        </is>
      </c>
      <c r="B118" s="49" t="n">
        <v>45261</v>
      </c>
      <c r="C118" s="48" t="inlineStr">
        <is>
          <t>Dec</t>
        </is>
      </c>
      <c r="D118" s="30" t="n">
        <v>1457.4217</v>
      </c>
      <c r="E118" s="30" t="n">
        <v>1873.146</v>
      </c>
      <c r="F118" s="30" t="n">
        <v>1206.083227</v>
      </c>
    </row>
    <row r="119">
      <c r="A119" s="48" t="inlineStr">
        <is>
          <t>2023/24</t>
        </is>
      </c>
      <c r="B119" s="49" t="n">
        <v>45292</v>
      </c>
      <c r="C119" s="48" t="inlineStr">
        <is>
          <t>Jan</t>
        </is>
      </c>
      <c r="D119" s="30" t="n">
        <v>1310.5822</v>
      </c>
      <c r="E119" s="30" t="n">
        <v>1841.704</v>
      </c>
      <c r="F119" s="30" t="n">
        <v>1380.19497</v>
      </c>
    </row>
    <row r="120">
      <c r="A120" s="48" t="inlineStr">
        <is>
          <t>2023/24</t>
        </is>
      </c>
      <c r="B120" s="49" t="n">
        <v>45323</v>
      </c>
      <c r="C120" s="48" t="inlineStr">
        <is>
          <t>Feb</t>
        </is>
      </c>
      <c r="D120" s="30" t="n">
        <v>1386.3429</v>
      </c>
      <c r="E120" s="30" t="n">
        <v>1564.725</v>
      </c>
      <c r="F120" s="30" t="n">
        <v>1523.878475</v>
      </c>
    </row>
    <row r="121">
      <c r="A121" s="48" t="inlineStr">
        <is>
          <t>2023/24</t>
        </is>
      </c>
      <c r="B121" s="49" t="n">
        <v>45352</v>
      </c>
      <c r="C121" s="48" t="inlineStr">
        <is>
          <t>Mar</t>
        </is>
      </c>
      <c r="D121" s="30" t="n">
        <v>1451.0437</v>
      </c>
      <c r="E121" s="30" t="n">
        <v>1716.662</v>
      </c>
      <c r="F121" s="30" t="n">
        <v>2026.92247</v>
      </c>
    </row>
    <row r="122">
      <c r="A122" s="48" t="inlineStr">
        <is>
          <t>2023/24</t>
        </is>
      </c>
      <c r="B122" s="49" t="n">
        <v>45383</v>
      </c>
      <c r="C122" s="48" t="inlineStr">
        <is>
          <t>Apr</t>
        </is>
      </c>
      <c r="D122" s="30" t="n">
        <v>1229.5288</v>
      </c>
      <c r="E122" s="30" t="n">
        <v>2145.427</v>
      </c>
      <c r="F122" s="30" t="n">
        <v>2345.362105</v>
      </c>
    </row>
    <row r="123">
      <c r="A123" s="48" t="inlineStr">
        <is>
          <t>2023/24</t>
        </is>
      </c>
      <c r="B123" s="49" t="n">
        <v>45413</v>
      </c>
      <c r="C123" s="48" t="inlineStr">
        <is>
          <t>May</t>
        </is>
      </c>
      <c r="D123" s="30" t="n">
        <v>1013.8299</v>
      </c>
      <c r="E123" s="30" t="n">
        <v>2102.071</v>
      </c>
      <c r="F123" s="30" t="n">
        <v>2910.356703</v>
      </c>
    </row>
    <row r="124">
      <c r="A124" s="48" t="inlineStr">
        <is>
          <t>2023/24</t>
        </is>
      </c>
      <c r="B124" s="49" t="n">
        <v>45444</v>
      </c>
      <c r="C124" s="48" t="inlineStr">
        <is>
          <t>Jun</t>
        </is>
      </c>
      <c r="D124" s="30" t="n">
        <v>1062.9849</v>
      </c>
      <c r="E124" s="30" t="n">
        <v>2022.761</v>
      </c>
      <c r="F124" s="30" t="n">
        <v>2647.08268</v>
      </c>
    </row>
    <row r="125">
      <c r="A125" s="48" t="inlineStr">
        <is>
          <t>2023/24</t>
        </is>
      </c>
      <c r="B125" s="49" t="n">
        <v>45474</v>
      </c>
      <c r="C125" s="48" t="inlineStr">
        <is>
          <t>Jul</t>
        </is>
      </c>
      <c r="D125" s="30" t="n">
        <v>1001.7097</v>
      </c>
      <c r="E125" s="30" t="n">
        <v>1966.289</v>
      </c>
      <c r="F125" s="30" t="n">
        <v>2554.55187</v>
      </c>
    </row>
    <row r="126">
      <c r="A126" s="48" t="inlineStr">
        <is>
          <t>2023/24</t>
        </is>
      </c>
      <c r="B126" s="49" t="n">
        <v>45505</v>
      </c>
      <c r="C126" s="48" t="inlineStr">
        <is>
          <t>Aug</t>
        </is>
      </c>
      <c r="D126" s="30" t="n">
        <v>904.6563000000001</v>
      </c>
      <c r="E126" s="30" t="n">
        <v>2070.846</v>
      </c>
      <c r="F126" s="30" t="n">
        <v>2125.62319</v>
      </c>
    </row>
    <row r="127">
      <c r="A127" s="48" t="inlineStr">
        <is>
          <t>2023/24</t>
        </is>
      </c>
      <c r="B127" s="49" t="n">
        <v>45536</v>
      </c>
      <c r="C127" s="48" t="inlineStr">
        <is>
          <t>Sep</t>
        </is>
      </c>
      <c r="D127" s="30" t="n">
        <v>1086.5735</v>
      </c>
      <c r="E127" s="30" t="n">
        <v>1744.889</v>
      </c>
      <c r="F127" s="30" t="n">
        <v>2416.55313</v>
      </c>
    </row>
    <row r="128">
      <c r="A128" s="48" t="inlineStr">
        <is>
          <t>2024/25</t>
        </is>
      </c>
      <c r="B128" s="49" t="n">
        <v>45566</v>
      </c>
      <c r="C128" s="48" t="inlineStr">
        <is>
          <t>Oct</t>
        </is>
      </c>
      <c r="D128" s="30" t="n">
        <v>1302.4014</v>
      </c>
      <c r="E128" s="30" t="n">
        <v>2299.594</v>
      </c>
      <c r="F128" s="30" t="n">
        <v>2629.770425</v>
      </c>
    </row>
    <row r="129">
      <c r="A129" s="48" t="inlineStr">
        <is>
          <t>2024/25</t>
        </is>
      </c>
      <c r="B129" s="49" t="n">
        <v>45597</v>
      </c>
      <c r="C129" s="48" t="inlineStr">
        <is>
          <t>Nov</t>
        </is>
      </c>
      <c r="D129" s="30" t="n">
        <v>1493.7666</v>
      </c>
      <c r="E129" s="30" t="n">
        <v>1679.334</v>
      </c>
      <c r="F129" s="30" t="n">
        <v>2379.61389</v>
      </c>
    </row>
    <row r="130">
      <c r="A130" s="48" t="inlineStr">
        <is>
          <t>2024/25</t>
        </is>
      </c>
      <c r="B130" s="49" t="n">
        <v>45627</v>
      </c>
      <c r="C130" s="48" t="inlineStr">
        <is>
          <t>Dec</t>
        </is>
      </c>
      <c r="D130" s="30" t="n">
        <v>1493.5179</v>
      </c>
      <c r="E130" s="30" t="n">
        <v>1980.031</v>
      </c>
      <c r="F130" s="30" t="n">
        <v>2301.252155</v>
      </c>
    </row>
    <row r="131">
      <c r="A131" s="48" t="inlineStr">
        <is>
          <t>2024/25</t>
        </is>
      </c>
      <c r="B131" s="49" t="n">
        <v>45658</v>
      </c>
      <c r="C131" s="48" t="inlineStr">
        <is>
          <t>Jan</t>
        </is>
      </c>
      <c r="D131" s="30" t="n">
        <v>1408.1514</v>
      </c>
      <c r="E131" s="30" t="n">
        <v>1651.024</v>
      </c>
      <c r="F131" s="30" t="n">
        <v>2050.971853</v>
      </c>
    </row>
    <row r="132">
      <c r="A132" s="48" t="inlineStr">
        <is>
          <t>2024/25</t>
        </is>
      </c>
      <c r="B132" s="49" t="n">
        <v>45689</v>
      </c>
      <c r="C132" s="48" t="inlineStr">
        <is>
          <t>Feb</t>
        </is>
      </c>
      <c r="D132" s="30" t="n">
        <v>1114.5086</v>
      </c>
      <c r="E132" s="30" t="n">
        <v>1655.593</v>
      </c>
      <c r="F132" s="30" t="n">
        <v>1701.197172</v>
      </c>
    </row>
    <row r="133">
      <c r="A133" s="48" t="inlineStr">
        <is>
          <t>2024/25</t>
        </is>
      </c>
      <c r="B133" s="49" t="n">
        <v>45717</v>
      </c>
      <c r="C133" s="48" t="inlineStr">
        <is>
          <t>Mar</t>
        </is>
      </c>
      <c r="D133" s="30" t="n">
        <v>1585.6422</v>
      </c>
      <c r="E133" s="30" t="n">
        <v>1854.097</v>
      </c>
      <c r="F133" s="30" t="n">
        <v>2204.148459</v>
      </c>
    </row>
    <row r="134">
      <c r="A134" s="48" t="inlineStr">
        <is>
          <t>2024/25</t>
        </is>
      </c>
      <c r="B134" s="49" t="n">
        <v>45748</v>
      </c>
      <c r="C134" s="48" t="inlineStr">
        <is>
          <t>Apr</t>
        </is>
      </c>
      <c r="D134" s="30" t="n">
        <v>1328.6224</v>
      </c>
      <c r="E134" s="30" t="n">
        <v>2124.248</v>
      </c>
      <c r="F134" s="30" t="n">
        <v>2191.156416</v>
      </c>
    </row>
    <row r="135">
      <c r="A135" s="48" t="inlineStr">
        <is>
          <t>2024/25</t>
        </is>
      </c>
      <c r="B135" s="49" t="n">
        <v>45778</v>
      </c>
      <c r="C135" s="48" t="inlineStr">
        <is>
          <t>May</t>
        </is>
      </c>
      <c r="D135" s="30" t="n">
        <v>1338.2493</v>
      </c>
      <c r="E135" s="30" t="n">
        <v>2269.988</v>
      </c>
      <c r="F135" s="30" t="n">
        <v>2341.829295</v>
      </c>
    </row>
    <row r="136">
      <c r="A136" s="48" t="inlineStr">
        <is>
          <t>2024/25</t>
        </is>
      </c>
      <c r="B136" s="49" t="n">
        <v>45809</v>
      </c>
      <c r="C136" s="48" t="inlineStr">
        <is>
          <t>Jun</t>
        </is>
      </c>
      <c r="D136" s="30" t="n">
        <v>1316.6991</v>
      </c>
      <c r="E136" s="30" t="n">
        <v>1840.904</v>
      </c>
      <c r="F136" s="30" t="n">
        <v>2452.93014</v>
      </c>
    </row>
    <row r="137">
      <c r="A137" s="48" t="inlineStr">
        <is>
          <t>2024/25</t>
        </is>
      </c>
      <c r="B137" s="49" t="n">
        <v>45839</v>
      </c>
      <c r="C137" s="48" t="inlineStr">
        <is>
          <t>Jul</t>
        </is>
      </c>
      <c r="D137" s="30" t="n">
        <v>1366.7956</v>
      </c>
      <c r="E137" s="30" t="n">
        <v>2055.057</v>
      </c>
      <c r="F137" s="30" t="n">
        <v>2432.519274</v>
      </c>
    </row>
    <row r="138">
      <c r="A138" s="48" t="inlineStr">
        <is>
          <t>2024/25</t>
        </is>
      </c>
      <c r="B138" s="49" t="n">
        <v>45870</v>
      </c>
      <c r="C138" s="48" t="inlineStr">
        <is>
          <t>Aug</t>
        </is>
      </c>
      <c r="D138" s="30" t="n">
        <v>1310.9861</v>
      </c>
      <c r="E138" s="30" t="n">
        <v>1904.426</v>
      </c>
      <c r="F138" s="30" t="n">
        <v>2733.534344</v>
      </c>
    </row>
    <row r="139">
      <c r="A139" s="48" t="inlineStr">
        <is>
          <t>2024/25</t>
        </is>
      </c>
      <c r="B139" s="49" t="n">
        <v>45901</v>
      </c>
      <c r="C139" s="48" t="inlineStr">
        <is>
          <t>Sep</t>
        </is>
      </c>
      <c r="D139" s="30" t="n">
        <v>1302.7673</v>
      </c>
      <c r="E139" s="30" t="n">
        <v>2071.28</v>
      </c>
      <c r="F139" s="30" t="n">
        <v>2672.865076</v>
      </c>
    </row>
    <row r="140">
      <c r="A140" s="48" t="inlineStr">
        <is>
          <t>2025/26</t>
        </is>
      </c>
      <c r="B140" s="49" t="n">
        <v>45931</v>
      </c>
      <c r="C140" s="48" t="inlineStr">
        <is>
          <t>Oct</t>
        </is>
      </c>
      <c r="D140" s="30" t="n">
        <v>1368.9903</v>
      </c>
      <c r="E140" s="30" t="n">
        <v>2147.339</v>
      </c>
      <c r="F140" s="30" t="n">
        <v>2426.682795</v>
      </c>
    </row>
    <row r="141">
      <c r="A141" s="48" t="inlineStr">
        <is>
          <t>2025/26</t>
        </is>
      </c>
      <c r="B141" s="49" t="n">
        <v>45962</v>
      </c>
      <c r="C141" s="48" t="inlineStr">
        <is>
          <t>Nov</t>
        </is>
      </c>
      <c r="D141" s="30" t="n">
        <v>1327.0363</v>
      </c>
      <c r="E141" s="30" t="n">
        <v>1704.778</v>
      </c>
      <c r="F141" s="30" t="n">
        <v>2715.857621</v>
      </c>
    </row>
    <row r="142">
      <c r="A142" s="48" t="inlineStr">
        <is>
          <t>2025/26</t>
        </is>
      </c>
      <c r="B142" s="49" t="n">
        <v>45992</v>
      </c>
      <c r="C142" s="48" t="inlineStr">
        <is>
          <t>Dec</t>
        </is>
      </c>
      <c r="D142" s="30" t="n">
        <v>1660.1368</v>
      </c>
      <c r="E142" s="30" t="n">
        <v>1990.315</v>
      </c>
      <c r="F142" s="30" t="n">
        <v>1890.39209</v>
      </c>
    </row>
    <row r="143">
      <c r="A143" s="48" t="inlineStr">
        <is>
          <t>2025/26</t>
        </is>
      </c>
      <c r="B143" s="49" t="n">
        <v>46023</v>
      </c>
      <c r="C143" s="48" t="inlineStr">
        <is>
          <t>Jan</t>
        </is>
      </c>
      <c r="D143" s="30" t="n">
        <v>1646.8235</v>
      </c>
      <c r="E143" s="30" t="n">
        <v>1797.577</v>
      </c>
      <c r="F143" s="30" t="n">
        <v>1899.909633</v>
      </c>
    </row>
    <row r="144">
      <c r="A144" s="48" t="inlineStr">
        <is>
          <t>2025/26</t>
        </is>
      </c>
      <c r="B144" s="49" t="n">
        <v>46054</v>
      </c>
      <c r="C144" s="48" t="inlineStr">
        <is>
          <t>Feb</t>
        </is>
      </c>
      <c r="D144" s="30" t="n">
        <v>1349.2271</v>
      </c>
      <c r="E144" s="30" t="n">
        <v>1702.402</v>
      </c>
      <c r="F144" s="30" t="n">
        <v>1232.474949</v>
      </c>
    </row>
    <row r="145">
      <c r="A145" s="48" t="inlineStr">
        <is>
          <t>2025/26</t>
        </is>
      </c>
      <c r="B145" s="49" t="n">
        <v>46082</v>
      </c>
      <c r="C145" s="48" t="inlineStr">
        <is>
          <t>Mar</t>
        </is>
      </c>
      <c r="D145" s="30" t="n">
        <v>1853.9618</v>
      </c>
      <c r="E145" s="30" t="n">
        <v>1926.239</v>
      </c>
      <c r="F145" s="30" t="n">
        <v>2031.892905</v>
      </c>
    </row>
    <row r="146">
      <c r="B146" s="49" t="n">
        <v>46113</v>
      </c>
      <c r="C146" s="48" t="inlineStr">
        <is>
          <t>Apr</t>
        </is>
      </c>
      <c r="D146" s="19" t="n">
        <v>1250</v>
      </c>
      <c r="E146" s="19" t="n">
        <v>2274</v>
      </c>
      <c r="F146" s="19" t="n">
        <v>2100</v>
      </c>
    </row>
    <row r="147">
      <c r="B147" s="49" t="n">
        <v>46143</v>
      </c>
      <c r="C147" s="48" t="inlineStr">
        <is>
          <t>May</t>
        </is>
      </c>
      <c r="D147" s="30" t="n"/>
      <c r="E147" s="30" t="n"/>
      <c r="F147" s="30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77"/>
  <sheetViews>
    <sheetView workbookViewId="0">
      <pane ySplit="1" topLeftCell="A248" activePane="bottomLeft" state="frozen"/>
      <selection pane="bottomLeft" activeCell="D269" sqref="D269:J269"/>
    </sheetView>
  </sheetViews>
  <sheetFormatPr baseColWidth="8" defaultRowHeight="15"/>
  <cols>
    <col width="12.5703125" bestFit="1" customWidth="1" min="3" max="11"/>
  </cols>
  <sheetData>
    <row r="1" ht="18.75" customFormat="1" customHeight="1" s="54">
      <c r="A1" s="53" t="inlineStr">
        <is>
          <t>MY</t>
        </is>
      </c>
      <c r="B1" s="53" t="inlineStr">
        <is>
          <t>Date</t>
        </is>
      </c>
      <c r="C1" s="53" t="inlineStr">
        <is>
          <t>Month</t>
        </is>
      </c>
      <c r="D1" s="53" t="inlineStr">
        <is>
          <t>US</t>
        </is>
      </c>
      <c r="E1" s="53" t="inlineStr">
        <is>
          <t>Australia</t>
        </is>
      </c>
      <c r="F1" s="53" t="inlineStr">
        <is>
          <t>Argentina</t>
        </is>
      </c>
      <c r="G1" s="53" t="inlineStr">
        <is>
          <t>Ukraine</t>
        </is>
      </c>
      <c r="H1" s="53" t="inlineStr">
        <is>
          <t>EU</t>
        </is>
      </c>
      <c r="I1" s="53" t="inlineStr">
        <is>
          <t>Canada</t>
        </is>
      </c>
      <c r="J1" s="53" t="inlineStr">
        <is>
          <t>India</t>
        </is>
      </c>
    </row>
    <row r="2">
      <c r="A2" s="20" t="inlineStr">
        <is>
          <t>2003/04</t>
        </is>
      </c>
      <c r="B2" s="51" t="n">
        <v>37987</v>
      </c>
      <c r="C2" s="20" t="inlineStr">
        <is>
          <t>January</t>
        </is>
      </c>
      <c r="D2" s="9" t="n">
        <v>2945.718</v>
      </c>
      <c r="E2" s="9" t="n">
        <v>1445.342</v>
      </c>
      <c r="F2" s="9" t="n"/>
      <c r="G2" s="9" t="n">
        <v>1029.858321</v>
      </c>
      <c r="H2" s="9" t="n">
        <v>240.451</v>
      </c>
      <c r="I2" s="52" t="n">
        <v>1131.806</v>
      </c>
      <c r="J2" s="20" t="n"/>
    </row>
    <row r="3">
      <c r="A3" s="20" t="inlineStr">
        <is>
          <t>2003/04</t>
        </is>
      </c>
      <c r="B3" s="51" t="n">
        <v>38018</v>
      </c>
      <c r="C3" s="20" t="inlineStr">
        <is>
          <t>February</t>
        </is>
      </c>
      <c r="D3" s="9" t="n">
        <v>2525.719</v>
      </c>
      <c r="E3" s="9" t="n">
        <v>1815.847</v>
      </c>
      <c r="F3" s="9" t="n"/>
      <c r="G3" s="9" t="n">
        <v>606.376526</v>
      </c>
      <c r="H3" s="9" t="n">
        <v>460.113</v>
      </c>
      <c r="I3" s="52" t="n">
        <v>863.441</v>
      </c>
      <c r="J3" s="20" t="n"/>
    </row>
    <row r="4">
      <c r="A4" s="20" t="inlineStr">
        <is>
          <t>2003/04</t>
        </is>
      </c>
      <c r="B4" s="51" t="n">
        <v>38047</v>
      </c>
      <c r="C4" s="20" t="inlineStr">
        <is>
          <t>March</t>
        </is>
      </c>
      <c r="D4" s="9" t="n">
        <v>2615.966</v>
      </c>
      <c r="E4" s="9" t="n">
        <v>1455.241</v>
      </c>
      <c r="F4" s="9" t="n"/>
      <c r="G4" s="9" t="n">
        <v>818.071813</v>
      </c>
      <c r="H4" s="9" t="n">
        <v>416.159</v>
      </c>
      <c r="I4" s="52" t="n">
        <v>1051.608</v>
      </c>
      <c r="J4" s="20" t="n"/>
      <c r="W4" s="18" t="n"/>
    </row>
    <row r="5">
      <c r="A5" s="20" t="inlineStr">
        <is>
          <t>2003/04</t>
        </is>
      </c>
      <c r="B5" s="51" t="n">
        <v>38078</v>
      </c>
      <c r="C5" s="20" t="inlineStr">
        <is>
          <t>April</t>
        </is>
      </c>
      <c r="D5" s="9" t="n">
        <v>2790.946</v>
      </c>
      <c r="E5" s="9" t="n">
        <v>1836.783</v>
      </c>
      <c r="F5" s="9" t="n">
        <v>0.02</v>
      </c>
      <c r="G5" s="9" t="n">
        <v>490.60721</v>
      </c>
      <c r="H5" s="9" t="n">
        <v>512.64</v>
      </c>
      <c r="I5" s="52" t="n">
        <v>1121.43</v>
      </c>
      <c r="J5" s="20" t="n"/>
      <c r="W5" s="18" t="n"/>
    </row>
    <row r="6">
      <c r="A6" s="20" t="inlineStr">
        <is>
          <t>2003/04</t>
        </is>
      </c>
      <c r="B6" s="51" t="n">
        <v>38108</v>
      </c>
      <c r="C6" s="20" t="inlineStr">
        <is>
          <t>May</t>
        </is>
      </c>
      <c r="D6" s="9" t="n">
        <v>2504.569</v>
      </c>
      <c r="E6" s="9" t="n">
        <v>1640.13</v>
      </c>
      <c r="F6" s="9" t="n">
        <v>9.976000000000001</v>
      </c>
      <c r="G6" s="9" t="n">
        <v>703.2265200000001</v>
      </c>
      <c r="H6" s="9" t="n">
        <v>605.898</v>
      </c>
      <c r="I6" s="52" t="n">
        <v>1638.094</v>
      </c>
      <c r="J6" s="20" t="n"/>
      <c r="W6" s="18" t="n"/>
    </row>
    <row r="7">
      <c r="A7" s="20" t="inlineStr">
        <is>
          <t>2003/04</t>
        </is>
      </c>
      <c r="B7" s="51" t="n">
        <v>38139</v>
      </c>
      <c r="C7" s="20" t="inlineStr">
        <is>
          <t>June</t>
        </is>
      </c>
      <c r="D7" s="9" t="n">
        <v>2218.83</v>
      </c>
      <c r="E7" s="9" t="n">
        <v>1653.466</v>
      </c>
      <c r="F7" s="9" t="n">
        <v>36.379192</v>
      </c>
      <c r="G7" s="9" t="n">
        <v>706.42053</v>
      </c>
      <c r="H7" s="9" t="n">
        <v>597.924</v>
      </c>
      <c r="I7" s="52" t="n">
        <v>1600.315</v>
      </c>
      <c r="J7" s="20" t="n"/>
      <c r="W7" s="18" t="n"/>
    </row>
    <row r="8">
      <c r="A8" s="20" t="inlineStr">
        <is>
          <t>2004/05</t>
        </is>
      </c>
      <c r="B8" s="51" t="n">
        <v>38169</v>
      </c>
      <c r="C8" s="20" t="inlineStr">
        <is>
          <t>July</t>
        </is>
      </c>
      <c r="D8" s="9" t="n">
        <v>2554.102</v>
      </c>
      <c r="E8" s="9" t="n">
        <v>1784.728</v>
      </c>
      <c r="F8" s="9" t="n">
        <v>12.28739</v>
      </c>
      <c r="G8" s="9" t="n">
        <v>580.05633</v>
      </c>
      <c r="H8" s="9" t="n">
        <v>541.511</v>
      </c>
      <c r="I8" s="52" t="n">
        <v>1353.964</v>
      </c>
      <c r="J8" s="20" t="n"/>
      <c r="W8" s="18" t="n"/>
    </row>
    <row r="9">
      <c r="A9" s="20" t="inlineStr">
        <is>
          <t>2004/05</t>
        </is>
      </c>
      <c r="B9" s="51" t="n">
        <v>38200</v>
      </c>
      <c r="C9" s="20" t="inlineStr">
        <is>
          <t>August</t>
        </is>
      </c>
      <c r="D9" s="9" t="n">
        <v>2832.012</v>
      </c>
      <c r="E9" s="9" t="n">
        <v>1415.338</v>
      </c>
      <c r="F9" s="9" t="n">
        <v>227.098863</v>
      </c>
      <c r="G9" s="9" t="n">
        <v>723.7575900000001</v>
      </c>
      <c r="H9" s="9" t="n">
        <v>1141.126</v>
      </c>
      <c r="I9" s="52" t="n">
        <v>1736.266</v>
      </c>
      <c r="J9" s="20" t="n"/>
      <c r="W9" s="18" t="n"/>
    </row>
    <row r="10">
      <c r="A10" s="20" t="inlineStr">
        <is>
          <t>2004/05</t>
        </is>
      </c>
      <c r="B10" s="51" t="n">
        <v>38231</v>
      </c>
      <c r="C10" s="20" t="inlineStr">
        <is>
          <t>September</t>
        </is>
      </c>
      <c r="D10" s="9" t="n">
        <v>3251.155</v>
      </c>
      <c r="E10" s="9" t="n">
        <v>1501.789</v>
      </c>
      <c r="F10" s="9" t="n">
        <v>505.424226</v>
      </c>
      <c r="G10" s="9" t="n">
        <v>678.615729</v>
      </c>
      <c r="H10" s="9" t="n">
        <v>1335.028</v>
      </c>
      <c r="I10" s="52" t="n">
        <v>1138.152</v>
      </c>
      <c r="J10" s="20" t="n"/>
      <c r="W10" s="18" t="n"/>
    </row>
    <row r="11">
      <c r="A11" s="20" t="inlineStr">
        <is>
          <t>2004/05</t>
        </is>
      </c>
      <c r="B11" s="51" t="n">
        <v>38261</v>
      </c>
      <c r="C11" s="20" t="inlineStr">
        <is>
          <t>October</t>
        </is>
      </c>
      <c r="D11" s="9" t="n">
        <v>2401.304</v>
      </c>
      <c r="E11" s="9" t="n">
        <v>1368.9</v>
      </c>
      <c r="F11" s="9" t="n">
        <v>613.683871</v>
      </c>
      <c r="G11" s="9" t="n">
        <v>862.39122</v>
      </c>
      <c r="H11" s="9" t="n">
        <v>1359.494</v>
      </c>
      <c r="I11" s="52" t="n">
        <v>915.16</v>
      </c>
      <c r="J11" s="20" t="n"/>
      <c r="W11" s="18" t="n"/>
    </row>
    <row r="12">
      <c r="A12" s="20" t="inlineStr">
        <is>
          <t>2004/05</t>
        </is>
      </c>
      <c r="B12" s="51" t="n">
        <v>38292</v>
      </c>
      <c r="C12" s="20" t="inlineStr">
        <is>
          <t>November</t>
        </is>
      </c>
      <c r="D12" s="9" t="n">
        <v>2189.83</v>
      </c>
      <c r="E12" s="9" t="n">
        <v>1419.119</v>
      </c>
      <c r="F12" s="9" t="n">
        <v>592.719812</v>
      </c>
      <c r="G12" s="9" t="n">
        <v>1111.959841</v>
      </c>
      <c r="H12" s="9" t="n">
        <v>1130.801</v>
      </c>
      <c r="I12" s="52" t="n">
        <v>1293.136</v>
      </c>
      <c r="J12" s="20" t="n"/>
      <c r="W12" s="18" t="n"/>
    </row>
    <row r="13">
      <c r="A13" s="20" t="inlineStr">
        <is>
          <t>2004/05</t>
        </is>
      </c>
      <c r="B13" s="51" t="n">
        <v>38322</v>
      </c>
      <c r="C13" s="20" t="inlineStr">
        <is>
          <t>December</t>
        </is>
      </c>
      <c r="D13" s="9" t="n">
        <v>2213.374</v>
      </c>
      <c r="E13" s="9" t="n">
        <v>1116.828</v>
      </c>
      <c r="F13" s="9" t="n">
        <v>556.091647</v>
      </c>
      <c r="G13" s="9" t="n">
        <v>1672.624017</v>
      </c>
      <c r="H13" s="9" t="n">
        <v>887.278</v>
      </c>
      <c r="I13" s="52" t="n">
        <v>1278.418</v>
      </c>
      <c r="J13" s="20" t="n"/>
      <c r="W13" s="18" t="n"/>
    </row>
    <row r="14">
      <c r="A14" s="20" t="inlineStr">
        <is>
          <t>2004/05</t>
        </is>
      </c>
      <c r="B14" s="51" t="n">
        <v>38353</v>
      </c>
      <c r="C14" s="20" t="inlineStr">
        <is>
          <t>January</t>
        </is>
      </c>
      <c r="D14" s="9" t="n">
        <v>2115.351</v>
      </c>
      <c r="E14" s="9" t="n">
        <v>1516.817</v>
      </c>
      <c r="F14" s="9" t="n">
        <v>333.916642</v>
      </c>
      <c r="G14" s="9" t="n">
        <v>2334.0324</v>
      </c>
      <c r="H14" s="9" t="n">
        <v>785.501</v>
      </c>
      <c r="I14" s="52" t="n">
        <v>1101.92</v>
      </c>
      <c r="J14" s="20" t="n"/>
    </row>
    <row r="15">
      <c r="A15" s="20" t="inlineStr">
        <is>
          <t>2004/05</t>
        </is>
      </c>
      <c r="B15" s="51" t="n">
        <v>38384</v>
      </c>
      <c r="C15" s="20" t="inlineStr">
        <is>
          <t>February</t>
        </is>
      </c>
      <c r="D15" s="9" t="n">
        <v>2042.771</v>
      </c>
      <c r="E15" s="9" t="n">
        <v>1414.921</v>
      </c>
      <c r="F15" s="9" t="n">
        <v>243.951692</v>
      </c>
      <c r="G15" s="9" t="n">
        <v>1762.771638</v>
      </c>
      <c r="H15" s="9" t="n">
        <v>696.171</v>
      </c>
      <c r="I15" s="52" t="n">
        <v>1244.471</v>
      </c>
      <c r="J15" s="20" t="n"/>
    </row>
    <row r="16">
      <c r="A16" s="20" t="inlineStr">
        <is>
          <t>2004/05</t>
        </is>
      </c>
      <c r="B16" s="51" t="n">
        <v>38412</v>
      </c>
      <c r="C16" s="20" t="inlineStr">
        <is>
          <t>March</t>
        </is>
      </c>
      <c r="D16" s="9" t="n">
        <v>2084.481</v>
      </c>
      <c r="E16" s="9" t="n">
        <v>1103.238</v>
      </c>
      <c r="F16" s="9" t="n">
        <v>296.18801</v>
      </c>
      <c r="G16" s="9" t="n">
        <v>1194.095333</v>
      </c>
      <c r="H16" s="9" t="n">
        <v>1057.821</v>
      </c>
      <c r="I16" s="52" t="n">
        <v>1106.296</v>
      </c>
      <c r="J16" s="20" t="n"/>
    </row>
    <row r="17">
      <c r="A17" s="20" t="inlineStr">
        <is>
          <t>2004/05</t>
        </is>
      </c>
      <c r="B17" s="51" t="n">
        <v>38443</v>
      </c>
      <c r="C17" s="20" t="inlineStr">
        <is>
          <t>April</t>
        </is>
      </c>
      <c r="D17" s="9" t="n">
        <v>2195.309</v>
      </c>
      <c r="E17" s="9" t="n">
        <v>891.598</v>
      </c>
      <c r="F17" s="9" t="n">
        <v>353.542378</v>
      </c>
      <c r="G17" s="9" t="n">
        <v>870.269478</v>
      </c>
      <c r="H17" s="9" t="n">
        <v>1046.165</v>
      </c>
      <c r="I17" s="52" t="n">
        <v>999.5839999999999</v>
      </c>
      <c r="J17" s="20" t="n"/>
    </row>
    <row r="18">
      <c r="A18" s="20" t="inlineStr">
        <is>
          <t>2004/05</t>
        </is>
      </c>
      <c r="B18" s="51" t="n">
        <v>38473</v>
      </c>
      <c r="C18" s="20" t="inlineStr">
        <is>
          <t>May</t>
        </is>
      </c>
      <c r="D18" s="9" t="n">
        <v>2029.152</v>
      </c>
      <c r="E18" s="9" t="n">
        <v>962.2329999999999</v>
      </c>
      <c r="F18" s="9" t="n">
        <v>321.535959</v>
      </c>
      <c r="G18" s="9" t="n">
        <v>742.556424</v>
      </c>
      <c r="H18" s="9" t="n">
        <v>1123.606</v>
      </c>
      <c r="I18" s="52" t="n">
        <v>1473.173</v>
      </c>
      <c r="J18" s="20" t="n"/>
    </row>
    <row r="19">
      <c r="A19" s="20" t="inlineStr">
        <is>
          <t>2004/05</t>
        </is>
      </c>
      <c r="B19" s="51" t="n">
        <v>38504</v>
      </c>
      <c r="C19" s="20" t="inlineStr">
        <is>
          <t>June</t>
        </is>
      </c>
      <c r="D19" s="9" t="n">
        <v>1751.462</v>
      </c>
      <c r="E19" s="9" t="n">
        <v>945.636</v>
      </c>
      <c r="F19" s="9" t="n">
        <v>319.630775</v>
      </c>
      <c r="G19" s="9" t="n">
        <v>434.69002</v>
      </c>
      <c r="H19" s="9" t="n">
        <v>1095.858</v>
      </c>
      <c r="I19" s="52" t="n">
        <v>1111.387</v>
      </c>
      <c r="J19" s="20" t="n"/>
    </row>
    <row r="20">
      <c r="A20" s="20" t="inlineStr">
        <is>
          <t>2005/06</t>
        </is>
      </c>
      <c r="B20" s="51" t="n">
        <v>38534</v>
      </c>
      <c r="C20" s="20" t="inlineStr">
        <is>
          <t>July</t>
        </is>
      </c>
      <c r="D20" s="9" t="n">
        <v>2450.302</v>
      </c>
      <c r="E20" s="9" t="n">
        <v>1210.345</v>
      </c>
      <c r="F20" s="9" t="n">
        <v>233.237555</v>
      </c>
      <c r="G20" s="9" t="n">
        <v>510.77873</v>
      </c>
      <c r="H20" s="9" t="n">
        <v>675.451</v>
      </c>
      <c r="I20" s="52" t="n">
        <v>1119.822</v>
      </c>
      <c r="J20" s="20" t="n"/>
    </row>
    <row r="21">
      <c r="A21" s="20" t="inlineStr">
        <is>
          <t>2005/06</t>
        </is>
      </c>
      <c r="B21" s="51" t="n">
        <v>38565</v>
      </c>
      <c r="C21" s="20" t="inlineStr">
        <is>
          <t>August</t>
        </is>
      </c>
      <c r="D21" s="9" t="n">
        <v>2269.99</v>
      </c>
      <c r="E21" s="9" t="n">
        <v>1220.468</v>
      </c>
      <c r="F21" s="9" t="n">
        <v>582.776459</v>
      </c>
      <c r="G21" s="9" t="n">
        <v>489.131885</v>
      </c>
      <c r="H21" s="9" t="n">
        <v>737.994</v>
      </c>
      <c r="I21" s="52" t="n">
        <v>1164.304</v>
      </c>
      <c r="J21" s="20" t="n"/>
    </row>
    <row r="22">
      <c r="A22" s="20" t="inlineStr">
        <is>
          <t>2005/06</t>
        </is>
      </c>
      <c r="B22" s="51" t="n">
        <v>38596</v>
      </c>
      <c r="C22" s="20" t="inlineStr">
        <is>
          <t>September</t>
        </is>
      </c>
      <c r="D22" s="9" t="n">
        <v>2761.515</v>
      </c>
      <c r="E22" s="9" t="n">
        <v>1179.321</v>
      </c>
      <c r="F22" s="9" t="n">
        <v>815.806792</v>
      </c>
      <c r="G22" s="9" t="n">
        <v>370.04809</v>
      </c>
      <c r="H22" s="9" t="n">
        <v>890.78</v>
      </c>
      <c r="I22" s="52" t="n">
        <v>1133.606</v>
      </c>
      <c r="J22" s="20" t="n"/>
    </row>
    <row r="23">
      <c r="A23" s="20" t="inlineStr">
        <is>
          <t>2005/06</t>
        </is>
      </c>
      <c r="B23" s="51" t="n">
        <v>38626</v>
      </c>
      <c r="C23" s="20" t="inlineStr">
        <is>
          <t>October</t>
        </is>
      </c>
      <c r="D23" s="9" t="n">
        <v>2645.562</v>
      </c>
      <c r="E23" s="9" t="n">
        <v>1324.895</v>
      </c>
      <c r="F23" s="9" t="n">
        <v>931.192483</v>
      </c>
      <c r="G23" s="9" t="n">
        <v>393.488</v>
      </c>
      <c r="H23" s="9" t="n">
        <v>1051.204</v>
      </c>
      <c r="I23" s="52" t="n">
        <v>1273.906</v>
      </c>
      <c r="J23" s="20" t="n"/>
    </row>
    <row r="24">
      <c r="A24" s="20" t="inlineStr">
        <is>
          <t>2005/06</t>
        </is>
      </c>
      <c r="B24" s="51" t="n">
        <v>38657</v>
      </c>
      <c r="C24" s="20" t="inlineStr">
        <is>
          <t>November</t>
        </is>
      </c>
      <c r="D24" s="9" t="n">
        <v>2116.893</v>
      </c>
      <c r="E24" s="9" t="n">
        <v>915.152</v>
      </c>
      <c r="F24" s="9" t="n">
        <v>859.97891</v>
      </c>
      <c r="G24" s="9" t="n">
        <v>515.18483</v>
      </c>
      <c r="H24" s="9" t="n">
        <v>996.895</v>
      </c>
      <c r="I24" s="52" t="n">
        <v>1238.866</v>
      </c>
      <c r="J24" s="20" t="n"/>
    </row>
    <row r="25">
      <c r="A25" s="20" t="inlineStr">
        <is>
          <t>2005/06</t>
        </is>
      </c>
      <c r="B25" s="51" t="n">
        <v>38687</v>
      </c>
      <c r="C25" s="20" t="inlineStr">
        <is>
          <t>December</t>
        </is>
      </c>
      <c r="D25" s="9" t="n">
        <v>2577.669</v>
      </c>
      <c r="E25" s="9" t="n">
        <v>1229.879</v>
      </c>
      <c r="F25" s="9" t="n">
        <v>717.722579</v>
      </c>
      <c r="G25" s="9" t="n">
        <v>814.098655</v>
      </c>
      <c r="H25" s="9" t="n">
        <v>1170.466</v>
      </c>
      <c r="I25" s="52" t="n">
        <v>951.62</v>
      </c>
      <c r="J25" s="20" t="n"/>
    </row>
    <row r="26">
      <c r="A26" s="20" t="inlineStr">
        <is>
          <t>2005/06</t>
        </is>
      </c>
      <c r="B26" s="51" t="n">
        <v>38718</v>
      </c>
      <c r="C26" s="20" t="inlineStr">
        <is>
          <t>January</t>
        </is>
      </c>
      <c r="D26" s="9" t="n">
        <v>2229.018</v>
      </c>
      <c r="E26" s="9" t="n">
        <v>1292.317</v>
      </c>
      <c r="F26" s="9" t="n">
        <v>167.836907</v>
      </c>
      <c r="G26" s="9" t="n">
        <v>971.732942</v>
      </c>
      <c r="H26" s="9" t="n">
        <v>1414.969</v>
      </c>
      <c r="I26" s="52" t="n">
        <v>1152.691</v>
      </c>
      <c r="J26" s="20" t="n"/>
    </row>
    <row r="27">
      <c r="A27" s="20" t="inlineStr">
        <is>
          <t>2005/06</t>
        </is>
      </c>
      <c r="B27" s="51" t="n">
        <v>38749</v>
      </c>
      <c r="C27" s="20" t="inlineStr">
        <is>
          <t>February</t>
        </is>
      </c>
      <c r="D27" s="9" t="n">
        <v>1850.223</v>
      </c>
      <c r="E27" s="9" t="n">
        <v>1403.683</v>
      </c>
      <c r="F27" s="9" t="n">
        <v>325.37994</v>
      </c>
      <c r="G27" s="9" t="n">
        <v>647.1385309999999</v>
      </c>
      <c r="H27" s="9" t="n">
        <v>940.2809999999999</v>
      </c>
      <c r="I27" s="52" t="n">
        <v>1065.145</v>
      </c>
      <c r="J27" s="20" t="n"/>
    </row>
    <row r="28">
      <c r="A28" s="20" t="inlineStr">
        <is>
          <t>2005/06</t>
        </is>
      </c>
      <c r="B28" s="51" t="n">
        <v>38777</v>
      </c>
      <c r="C28" s="20" t="inlineStr">
        <is>
          <t>March</t>
        </is>
      </c>
      <c r="D28" s="9" t="n">
        <v>1991.244</v>
      </c>
      <c r="E28" s="9" t="n">
        <v>1409.942</v>
      </c>
      <c r="F28" s="9" t="n">
        <v>368.346575</v>
      </c>
      <c r="G28" s="9" t="n">
        <v>842.5614409999999</v>
      </c>
      <c r="H28" s="9" t="n">
        <v>1351.848</v>
      </c>
      <c r="I28" s="52" t="n">
        <v>1239.959</v>
      </c>
      <c r="J28" s="20" t="n"/>
    </row>
    <row r="29">
      <c r="A29" s="20" t="inlineStr">
        <is>
          <t>2005/06</t>
        </is>
      </c>
      <c r="B29" s="51" t="n">
        <v>38808</v>
      </c>
      <c r="C29" s="20" t="inlineStr">
        <is>
          <t>April</t>
        </is>
      </c>
      <c r="D29" s="9" t="n">
        <v>1852.311</v>
      </c>
      <c r="E29" s="9" t="n">
        <v>1414.929</v>
      </c>
      <c r="F29" s="9" t="n">
        <v>477.154944</v>
      </c>
      <c r="G29" s="9" t="n">
        <v>499.146816</v>
      </c>
      <c r="H29" s="9" t="n">
        <v>1169.197</v>
      </c>
      <c r="I29" s="52" t="n">
        <v>1868.041</v>
      </c>
      <c r="J29" s="20" t="n"/>
    </row>
    <row r="30">
      <c r="A30" s="20" t="inlineStr">
        <is>
          <t>2005/06</t>
        </is>
      </c>
      <c r="B30" s="51" t="n">
        <v>38838</v>
      </c>
      <c r="C30" s="20" t="inlineStr">
        <is>
          <t>May</t>
        </is>
      </c>
      <c r="D30" s="9" t="n">
        <v>1963.273</v>
      </c>
      <c r="E30" s="9" t="n">
        <v>1392.647</v>
      </c>
      <c r="F30" s="9" t="n">
        <v>438.790647</v>
      </c>
      <c r="G30" s="9" t="n">
        <v>803.576287</v>
      </c>
      <c r="H30" s="9" t="n">
        <v>1598.065</v>
      </c>
      <c r="I30" s="52" t="n">
        <v>1790.758</v>
      </c>
      <c r="J30" s="20" t="n"/>
    </row>
    <row r="31">
      <c r="A31" s="20" t="inlineStr">
        <is>
          <t>2005/06</t>
        </is>
      </c>
      <c r="B31" s="51" t="n">
        <v>38869</v>
      </c>
      <c r="C31" s="20" t="inlineStr">
        <is>
          <t>June</t>
        </is>
      </c>
      <c r="D31" s="9" t="n">
        <v>1721.324</v>
      </c>
      <c r="E31" s="9" t="n">
        <v>877.497</v>
      </c>
      <c r="F31" s="9" t="n">
        <v>509.141957</v>
      </c>
      <c r="G31" s="9" t="n">
        <v>845.542703</v>
      </c>
      <c r="H31" s="9" t="n">
        <v>1171.516</v>
      </c>
      <c r="I31" s="52" t="n">
        <v>1264.873</v>
      </c>
      <c r="J31" s="20" t="n"/>
    </row>
    <row r="32">
      <c r="A32" s="20" t="inlineStr">
        <is>
          <t>2006/07</t>
        </is>
      </c>
      <c r="B32" s="51" t="n">
        <v>38899</v>
      </c>
      <c r="C32" s="20" t="inlineStr">
        <is>
          <t>July</t>
        </is>
      </c>
      <c r="D32" s="9" t="n">
        <v>1845.629</v>
      </c>
      <c r="E32" s="9" t="n">
        <v>1268.083</v>
      </c>
      <c r="F32" s="9" t="n">
        <v>324.137728</v>
      </c>
      <c r="G32" s="9" t="n">
        <v>728.350083</v>
      </c>
      <c r="H32" s="9" t="n">
        <v>803.814</v>
      </c>
      <c r="I32" s="52" t="n">
        <v>1501.897</v>
      </c>
      <c r="J32" s="20" t="n"/>
    </row>
    <row r="33">
      <c r="A33" s="20" t="inlineStr">
        <is>
          <t>2006/07</t>
        </is>
      </c>
      <c r="B33" s="51" t="n">
        <v>38930</v>
      </c>
      <c r="C33" s="20" t="inlineStr">
        <is>
          <t>August</t>
        </is>
      </c>
      <c r="D33" s="9" t="n">
        <v>2128.501</v>
      </c>
      <c r="E33" s="9" t="n">
        <v>1642.399</v>
      </c>
      <c r="F33" s="9" t="n">
        <v>459.539788</v>
      </c>
      <c r="G33" s="9" t="n">
        <v>801.167579</v>
      </c>
      <c r="H33" s="9" t="n">
        <v>1289.197</v>
      </c>
      <c r="I33" s="52" t="n">
        <v>1548.719</v>
      </c>
      <c r="J33" s="20" t="n"/>
    </row>
    <row r="34">
      <c r="A34" s="20" t="inlineStr">
        <is>
          <t>2006/07</t>
        </is>
      </c>
      <c r="B34" s="51" t="n">
        <v>38961</v>
      </c>
      <c r="C34" s="20" t="inlineStr">
        <is>
          <t>September</t>
        </is>
      </c>
      <c r="D34" s="9" t="n">
        <v>2083.36</v>
      </c>
      <c r="E34" s="9" t="n">
        <v>1498.825</v>
      </c>
      <c r="F34" s="9" t="n">
        <v>850.872731</v>
      </c>
      <c r="G34" s="9" t="n">
        <v>508.77194</v>
      </c>
      <c r="H34" s="9" t="n">
        <v>1320.495</v>
      </c>
      <c r="I34" s="52" t="n">
        <v>1699.738</v>
      </c>
      <c r="J34" s="20" t="n"/>
    </row>
    <row r="35">
      <c r="A35" s="20" t="inlineStr">
        <is>
          <t>2006/07</t>
        </is>
      </c>
      <c r="B35" s="51" t="n">
        <v>38991</v>
      </c>
      <c r="C35" s="20" t="inlineStr">
        <is>
          <t>October</t>
        </is>
      </c>
      <c r="D35" s="9" t="n">
        <v>1921.197</v>
      </c>
      <c r="E35" s="9" t="n">
        <v>1057.093</v>
      </c>
      <c r="F35" s="9" t="n">
        <v>389.073763</v>
      </c>
      <c r="G35" s="9" t="n">
        <v>704.179544</v>
      </c>
      <c r="H35" s="9" t="n">
        <v>1243.454</v>
      </c>
      <c r="I35" s="52" t="n">
        <v>1984.274</v>
      </c>
      <c r="J35" s="20" t="n"/>
    </row>
    <row r="36">
      <c r="A36" s="20" t="inlineStr">
        <is>
          <t>2006/07</t>
        </is>
      </c>
      <c r="B36" s="51" t="n">
        <v>39022</v>
      </c>
      <c r="C36" s="20" t="inlineStr">
        <is>
          <t>November</t>
        </is>
      </c>
      <c r="D36" s="9" t="n">
        <v>1656.165</v>
      </c>
      <c r="E36" s="9" t="n">
        <v>895.561</v>
      </c>
      <c r="F36" s="9" t="n">
        <v>168.955788</v>
      </c>
      <c r="G36" s="9" t="n">
        <v>698.584035</v>
      </c>
      <c r="H36" s="9" t="n">
        <v>1183.416</v>
      </c>
      <c r="I36" s="52" t="n">
        <v>1701.354</v>
      </c>
      <c r="J36" s="20" t="n"/>
    </row>
    <row r="37">
      <c r="A37" s="20" t="inlineStr">
        <is>
          <t>2006/07</t>
        </is>
      </c>
      <c r="B37" s="51" t="n">
        <v>39052</v>
      </c>
      <c r="C37" s="20" t="inlineStr">
        <is>
          <t>December</t>
        </is>
      </c>
      <c r="D37" s="9" t="n">
        <v>1965.669</v>
      </c>
      <c r="E37" s="9" t="n">
        <v>791.561</v>
      </c>
      <c r="F37" s="9" t="n">
        <v>188.690441</v>
      </c>
      <c r="G37" s="9" t="n">
        <v>1647.016055</v>
      </c>
      <c r="H37" s="9" t="n">
        <v>1043.705</v>
      </c>
      <c r="I37" s="52" t="n">
        <v>1682.204</v>
      </c>
      <c r="J37" s="20" t="n"/>
    </row>
    <row r="38">
      <c r="A38" s="20" t="inlineStr">
        <is>
          <t>2006/07</t>
        </is>
      </c>
      <c r="B38" s="51" t="n">
        <v>39083</v>
      </c>
      <c r="C38" s="20" t="inlineStr">
        <is>
          <t>January</t>
        </is>
      </c>
      <c r="D38" s="9" t="n">
        <v>2279.736</v>
      </c>
      <c r="E38" s="9" t="n">
        <v>709.341</v>
      </c>
      <c r="F38" s="9" t="n">
        <v>0</v>
      </c>
      <c r="G38" s="9" t="n">
        <v>1441.474068</v>
      </c>
      <c r="H38" s="9" t="n">
        <v>1239.579</v>
      </c>
      <c r="I38" s="52" t="n">
        <v>1189.823</v>
      </c>
      <c r="J38" s="20" t="n"/>
    </row>
    <row r="39">
      <c r="A39" s="20" t="inlineStr">
        <is>
          <t>2006/07</t>
        </is>
      </c>
      <c r="B39" s="51" t="n">
        <v>39114</v>
      </c>
      <c r="C39" s="20" t="inlineStr">
        <is>
          <t>February</t>
        </is>
      </c>
      <c r="D39" s="9" t="n">
        <v>2076.629</v>
      </c>
      <c r="E39" s="9" t="n">
        <v>867.159</v>
      </c>
      <c r="F39" s="9" t="n">
        <v>19.15224</v>
      </c>
      <c r="G39" s="9" t="n">
        <v>1225.667631</v>
      </c>
      <c r="H39" s="9" t="n">
        <v>981.854</v>
      </c>
      <c r="I39" s="52" t="n">
        <v>1240.23</v>
      </c>
      <c r="J39" s="20" t="n"/>
    </row>
    <row r="40">
      <c r="A40" s="20" t="inlineStr">
        <is>
          <t>2006/07</t>
        </is>
      </c>
      <c r="B40" s="51" t="n">
        <v>39142</v>
      </c>
      <c r="C40" s="20" t="inlineStr">
        <is>
          <t>March</t>
        </is>
      </c>
      <c r="D40" s="9" t="n">
        <v>2124.37</v>
      </c>
      <c r="E40" s="9" t="n">
        <v>572.2910000000001</v>
      </c>
      <c r="F40" s="9" t="n">
        <v>52.644621</v>
      </c>
      <c r="G40" s="9" t="n">
        <v>1070.80637</v>
      </c>
      <c r="H40" s="9" t="n">
        <v>853.742</v>
      </c>
      <c r="I40" s="52" t="n">
        <v>1225.429</v>
      </c>
      <c r="J40" s="20" t="n"/>
    </row>
    <row r="41">
      <c r="A41" s="20" t="inlineStr">
        <is>
          <t>2006/07</t>
        </is>
      </c>
      <c r="B41" s="51" t="n">
        <v>39173</v>
      </c>
      <c r="C41" s="20" t="inlineStr">
        <is>
          <t>April</t>
        </is>
      </c>
      <c r="D41" s="9" t="n">
        <v>2088.981</v>
      </c>
      <c r="E41" s="9" t="n">
        <v>607.528</v>
      </c>
      <c r="F41" s="9" t="n">
        <v>100.565206</v>
      </c>
      <c r="G41" s="9" t="n">
        <v>1020.003992</v>
      </c>
      <c r="H41" s="9" t="n">
        <v>759.487</v>
      </c>
      <c r="I41" s="52" t="n">
        <v>1597.784</v>
      </c>
      <c r="J41" s="20" t="n"/>
    </row>
    <row r="42">
      <c r="A42" s="20" t="inlineStr">
        <is>
          <t>2006/07</t>
        </is>
      </c>
      <c r="B42" s="51" t="n">
        <v>39203</v>
      </c>
      <c r="C42" s="20" t="inlineStr">
        <is>
          <t>May</t>
        </is>
      </c>
      <c r="D42" s="9" t="n">
        <v>2398.719</v>
      </c>
      <c r="E42" s="9" t="n">
        <v>555.201</v>
      </c>
      <c r="F42" s="9" t="n">
        <v>40.361372</v>
      </c>
      <c r="G42" s="9" t="n">
        <v>688.398225</v>
      </c>
      <c r="H42" s="9" t="n">
        <v>768.7430000000001</v>
      </c>
      <c r="I42" s="52" t="n">
        <v>1730.61</v>
      </c>
      <c r="J42" s="20" t="n"/>
    </row>
    <row r="43">
      <c r="A43" s="20" t="inlineStr">
        <is>
          <t>2006/07</t>
        </is>
      </c>
      <c r="B43" s="51" t="n">
        <v>39234</v>
      </c>
      <c r="C43" s="20" t="inlineStr">
        <is>
          <t>June</t>
        </is>
      </c>
      <c r="D43" s="9" t="n">
        <v>2010.281</v>
      </c>
      <c r="E43" s="9" t="n">
        <v>434.186</v>
      </c>
      <c r="F43" s="9" t="n">
        <v>732.464932</v>
      </c>
      <c r="G43" s="9" t="n">
        <v>684.61389</v>
      </c>
      <c r="H43" s="9" t="n">
        <v>657.977</v>
      </c>
      <c r="I43" s="52" t="n">
        <v>1789.276</v>
      </c>
      <c r="J43" s="20" t="n"/>
    </row>
    <row r="44">
      <c r="A44" s="20" t="inlineStr">
        <is>
          <t>2007/08</t>
        </is>
      </c>
      <c r="B44" s="51" t="n">
        <v>39264</v>
      </c>
      <c r="C44" s="20" t="inlineStr">
        <is>
          <t>July</t>
        </is>
      </c>
      <c r="D44" s="9" t="n">
        <v>2220.285</v>
      </c>
      <c r="E44" s="9" t="n">
        <v>855.431</v>
      </c>
      <c r="F44" s="9" t="n">
        <v>105.911275</v>
      </c>
      <c r="G44" s="9" t="n">
        <v>616.68786</v>
      </c>
      <c r="H44" s="9" t="n">
        <v>712.954</v>
      </c>
      <c r="I44" s="52" t="n">
        <v>1659.781</v>
      </c>
      <c r="J44" s="20" t="n"/>
    </row>
    <row r="45">
      <c r="A45" s="20" t="inlineStr">
        <is>
          <t>2007/08</t>
        </is>
      </c>
      <c r="B45" s="51" t="n">
        <v>39295</v>
      </c>
      <c r="C45" s="20" t="inlineStr">
        <is>
          <t>August</t>
        </is>
      </c>
      <c r="D45" s="9" t="n">
        <v>4417.455</v>
      </c>
      <c r="E45" s="9" t="n">
        <v>363.352</v>
      </c>
      <c r="F45" s="9" t="n">
        <v>3.5264</v>
      </c>
      <c r="G45" s="9" t="n">
        <v>384.49509</v>
      </c>
      <c r="H45" s="9" t="n">
        <v>873.361</v>
      </c>
      <c r="I45" s="52" t="n">
        <v>1663.21</v>
      </c>
      <c r="J45" s="20" t="n"/>
    </row>
    <row r="46">
      <c r="A46" s="20" t="inlineStr">
        <is>
          <t>2007/08</t>
        </is>
      </c>
      <c r="B46" s="51" t="n">
        <v>39326</v>
      </c>
      <c r="C46" s="20" t="inlineStr">
        <is>
          <t>September</t>
        </is>
      </c>
      <c r="D46" s="9" t="n">
        <v>4476.431</v>
      </c>
      <c r="E46" s="9" t="n">
        <v>697.704</v>
      </c>
      <c r="F46" s="9" t="n">
        <v>1.04637</v>
      </c>
      <c r="G46" s="9" t="n">
        <v>119.72373</v>
      </c>
      <c r="H46" s="9" t="n">
        <v>747.529</v>
      </c>
      <c r="I46" s="52" t="n">
        <v>1403.59</v>
      </c>
      <c r="J46" s="20" t="n"/>
    </row>
    <row r="47">
      <c r="A47" s="20" t="inlineStr">
        <is>
          <t>2007/08</t>
        </is>
      </c>
      <c r="B47" s="51" t="n">
        <v>39356</v>
      </c>
      <c r="C47" s="20" t="inlineStr">
        <is>
          <t>October</t>
        </is>
      </c>
      <c r="D47" s="9" t="n">
        <v>3824.02</v>
      </c>
      <c r="E47" s="9" t="n">
        <v>369.696</v>
      </c>
      <c r="F47" s="9" t="n">
        <v>0.144</v>
      </c>
      <c r="G47" s="9" t="n">
        <v>62.425155</v>
      </c>
      <c r="H47" s="9" t="n">
        <v>706.6849999999999</v>
      </c>
      <c r="I47" s="52" t="n">
        <v>1539.257</v>
      </c>
      <c r="J47" s="20" t="n"/>
    </row>
    <row r="48">
      <c r="A48" s="20" t="inlineStr">
        <is>
          <t>2007/08</t>
        </is>
      </c>
      <c r="B48" s="51" t="n">
        <v>39387</v>
      </c>
      <c r="C48" s="20" t="inlineStr">
        <is>
          <t>November</t>
        </is>
      </c>
      <c r="D48" s="9" t="n">
        <v>2842.124</v>
      </c>
      <c r="E48" s="9" t="n">
        <v>255.577</v>
      </c>
      <c r="F48" s="9" t="n">
        <v>0.07000000000000001</v>
      </c>
      <c r="G48" s="9" t="n">
        <v>488.939565</v>
      </c>
      <c r="H48" s="9" t="n">
        <v>677.8630000000001</v>
      </c>
      <c r="I48" s="52" t="n">
        <v>1340.081</v>
      </c>
      <c r="J48" s="20" t="n"/>
    </row>
    <row r="49">
      <c r="A49" s="20" t="inlineStr">
        <is>
          <t>2007/08</t>
        </is>
      </c>
      <c r="B49" s="51" t="n">
        <v>39417</v>
      </c>
      <c r="C49" s="20" t="inlineStr">
        <is>
          <t>December</t>
        </is>
      </c>
      <c r="D49" s="9" t="n">
        <v>2231.594</v>
      </c>
      <c r="E49" s="9" t="n">
        <v>470.751</v>
      </c>
      <c r="F49" s="9" t="n">
        <v>0</v>
      </c>
      <c r="G49" s="9" t="n">
        <v>1842.254545</v>
      </c>
      <c r="H49" s="9" t="n">
        <v>480.349</v>
      </c>
      <c r="I49" s="52" t="n">
        <v>1201.528</v>
      </c>
      <c r="J49" s="20" t="n"/>
    </row>
    <row r="50">
      <c r="A50" s="20" t="inlineStr">
        <is>
          <t>2007/08</t>
        </is>
      </c>
      <c r="B50" s="51" t="n">
        <v>39448</v>
      </c>
      <c r="C50" s="20" t="inlineStr">
        <is>
          <t>January</t>
        </is>
      </c>
      <c r="D50" s="9" t="n">
        <v>2454.951</v>
      </c>
      <c r="E50" s="9" t="n">
        <v>465.333</v>
      </c>
      <c r="F50" s="9" t="n">
        <v>0</v>
      </c>
      <c r="G50" s="9" t="n">
        <v>3372.233184</v>
      </c>
      <c r="H50" s="9" t="n">
        <v>631.8049999999999</v>
      </c>
      <c r="I50" s="52" t="n">
        <v>1195.25</v>
      </c>
      <c r="J50" s="20" t="n"/>
    </row>
    <row r="51">
      <c r="A51" s="20" t="inlineStr">
        <is>
          <t>2007/08</t>
        </is>
      </c>
      <c r="B51" s="51" t="n">
        <v>39479</v>
      </c>
      <c r="C51" s="20" t="inlineStr">
        <is>
          <t>February</t>
        </is>
      </c>
      <c r="D51" s="9" t="n">
        <v>2276.554</v>
      </c>
      <c r="E51" s="9" t="n">
        <v>639.473</v>
      </c>
      <c r="F51" s="9" t="n">
        <v>1.1941</v>
      </c>
      <c r="G51" s="9" t="n">
        <v>1746.565811</v>
      </c>
      <c r="H51" s="9" t="n">
        <v>837.356</v>
      </c>
      <c r="I51" s="52" t="n">
        <v>1060.343</v>
      </c>
      <c r="J51" s="20" t="n"/>
    </row>
    <row r="52">
      <c r="A52" s="20" t="inlineStr">
        <is>
          <t>2007/08</t>
        </is>
      </c>
      <c r="B52" s="51" t="n">
        <v>39508</v>
      </c>
      <c r="C52" s="20" t="inlineStr">
        <is>
          <t>March</t>
        </is>
      </c>
      <c r="D52" s="9" t="n">
        <v>2521.344</v>
      </c>
      <c r="E52" s="9" t="n">
        <v>631.5119999999999</v>
      </c>
      <c r="F52" s="9" t="n">
        <v>153.06712</v>
      </c>
      <c r="G52" s="9" t="n">
        <v>10.241186</v>
      </c>
      <c r="H52" s="9" t="n">
        <v>1044.641</v>
      </c>
      <c r="I52" s="52" t="n">
        <v>1209.753</v>
      </c>
      <c r="J52" s="20" t="n"/>
    </row>
    <row r="53">
      <c r="A53" s="20" t="inlineStr">
        <is>
          <t>2007/08</t>
        </is>
      </c>
      <c r="B53" s="51" t="n">
        <v>39539</v>
      </c>
      <c r="C53" s="20" t="inlineStr">
        <is>
          <t>April</t>
        </is>
      </c>
      <c r="D53" s="9" t="n">
        <v>2160.572</v>
      </c>
      <c r="E53" s="9" t="n">
        <v>773.28</v>
      </c>
      <c r="F53" s="9" t="n">
        <v>21.996776</v>
      </c>
      <c r="G53" s="9" t="n">
        <v>5.972401</v>
      </c>
      <c r="H53" s="9" t="n">
        <v>1620.856</v>
      </c>
      <c r="I53" s="52" t="n">
        <v>1320.422</v>
      </c>
      <c r="J53" s="20" t="n"/>
    </row>
    <row r="54">
      <c r="A54" s="20" t="inlineStr">
        <is>
          <t>2007/08</t>
        </is>
      </c>
      <c r="B54" s="51" t="n">
        <v>39569</v>
      </c>
      <c r="C54" s="20" t="inlineStr">
        <is>
          <t>May</t>
        </is>
      </c>
      <c r="D54" s="9" t="n">
        <v>2158.694</v>
      </c>
      <c r="E54" s="9" t="n">
        <v>954.648</v>
      </c>
      <c r="F54" s="9" t="n">
        <v>140.674322</v>
      </c>
      <c r="G54" s="9" t="n">
        <v>3.47163</v>
      </c>
      <c r="H54" s="9" t="n">
        <v>1248.584</v>
      </c>
      <c r="I54" s="52" t="n">
        <v>1654.626</v>
      </c>
      <c r="J54" s="20" t="n"/>
    </row>
    <row r="55">
      <c r="A55" s="20" t="inlineStr">
        <is>
          <t>2007/08</t>
        </is>
      </c>
      <c r="B55" s="51" t="n">
        <v>39600</v>
      </c>
      <c r="C55" s="20" t="inlineStr">
        <is>
          <t>June</t>
        </is>
      </c>
      <c r="D55" s="9" t="n">
        <v>2093.975</v>
      </c>
      <c r="E55" s="9" t="n">
        <v>690.718</v>
      </c>
      <c r="F55" s="9" t="n">
        <v>483.595715</v>
      </c>
      <c r="G55" s="9" t="n">
        <v>94.96890500000001</v>
      </c>
      <c r="H55" s="9" t="n">
        <v>1195.881</v>
      </c>
      <c r="I55" s="52" t="n">
        <v>1007.292</v>
      </c>
      <c r="J55" s="20" t="n"/>
    </row>
    <row r="56">
      <c r="A56" s="20" t="inlineStr">
        <is>
          <t>2008/09</t>
        </is>
      </c>
      <c r="B56" s="51" t="n">
        <v>39630</v>
      </c>
      <c r="C56" s="20" t="inlineStr">
        <is>
          <t>July</t>
        </is>
      </c>
      <c r="D56" s="9" t="n">
        <v>3250.008</v>
      </c>
      <c r="E56" s="9" t="n">
        <v>701.337</v>
      </c>
      <c r="F56" s="9" t="n">
        <v>645.911032</v>
      </c>
      <c r="G56" s="9" t="n">
        <v>115.26214</v>
      </c>
      <c r="H56" s="9" t="n">
        <v>1222.048</v>
      </c>
      <c r="I56" s="52" t="n">
        <v>1221.42</v>
      </c>
      <c r="J56" s="20" t="n"/>
    </row>
    <row r="57">
      <c r="A57" s="20" t="inlineStr">
        <is>
          <t>2008/09</t>
        </is>
      </c>
      <c r="B57" s="51" t="n">
        <v>39661</v>
      </c>
      <c r="C57" s="20" t="inlineStr">
        <is>
          <t>August</t>
        </is>
      </c>
      <c r="D57" s="9" t="n">
        <v>3855.067</v>
      </c>
      <c r="E57" s="9" t="n">
        <v>805.0119999999999</v>
      </c>
      <c r="F57" s="9" t="n">
        <v>907.861922</v>
      </c>
      <c r="G57" s="9" t="n">
        <v>462.459348</v>
      </c>
      <c r="H57" s="9" t="n">
        <v>1826.516</v>
      </c>
      <c r="I57" s="52" t="n">
        <v>1160.038</v>
      </c>
      <c r="J57" s="20" t="n"/>
    </row>
    <row r="58">
      <c r="A58" s="20" t="inlineStr">
        <is>
          <t>2008/09</t>
        </is>
      </c>
      <c r="B58" s="51" t="n">
        <v>39692</v>
      </c>
      <c r="C58" s="20" t="inlineStr">
        <is>
          <t>September</t>
        </is>
      </c>
      <c r="D58" s="9" t="n">
        <v>3177.851</v>
      </c>
      <c r="E58" s="9" t="n">
        <v>439.799</v>
      </c>
      <c r="F58" s="9" t="n">
        <v>1542.17283</v>
      </c>
      <c r="G58" s="9" t="n">
        <v>891.434615</v>
      </c>
      <c r="H58" s="9" t="n">
        <v>2482.788</v>
      </c>
      <c r="I58" s="52" t="n">
        <v>1119.416</v>
      </c>
      <c r="J58" s="20" t="n"/>
    </row>
    <row r="59">
      <c r="A59" s="20" t="inlineStr">
        <is>
          <t>2008/09</t>
        </is>
      </c>
      <c r="B59" s="51" t="n">
        <v>39722</v>
      </c>
      <c r="C59" s="20" t="inlineStr">
        <is>
          <t>October</t>
        </is>
      </c>
      <c r="D59" s="9" t="n">
        <v>2543.171</v>
      </c>
      <c r="E59" s="9" t="n">
        <v>520.461</v>
      </c>
      <c r="F59" s="9" t="n">
        <v>1333.899733</v>
      </c>
      <c r="G59" s="9" t="n">
        <v>621.72833</v>
      </c>
      <c r="H59" s="9" t="n">
        <v>2843.965</v>
      </c>
      <c r="I59" s="52" t="n">
        <v>1480.496</v>
      </c>
      <c r="J59" s="20" t="n"/>
    </row>
    <row r="60">
      <c r="A60" s="20" t="inlineStr">
        <is>
          <t>2008/09</t>
        </is>
      </c>
      <c r="B60" s="51" t="n">
        <v>39753</v>
      </c>
      <c r="C60" s="20" t="inlineStr">
        <is>
          <t>November</t>
        </is>
      </c>
      <c r="D60" s="9" t="n">
        <v>2113.472</v>
      </c>
      <c r="E60" s="9" t="n">
        <v>496.909</v>
      </c>
      <c r="F60" s="9" t="n">
        <v>1237.604073</v>
      </c>
      <c r="G60" s="9" t="n">
        <v>599.768404</v>
      </c>
      <c r="H60" s="9" t="n">
        <v>1999.632</v>
      </c>
      <c r="I60" s="52" t="n">
        <v>1740.779</v>
      </c>
      <c r="J60" s="20" t="n"/>
    </row>
    <row r="61">
      <c r="A61" s="20" t="inlineStr">
        <is>
          <t>2008/09</t>
        </is>
      </c>
      <c r="B61" s="51" t="n">
        <v>39783</v>
      </c>
      <c r="C61" s="20" t="inlineStr">
        <is>
          <t>December</t>
        </is>
      </c>
      <c r="D61" s="9" t="n">
        <v>1415.203</v>
      </c>
      <c r="E61" s="9" t="n">
        <v>1159.532</v>
      </c>
      <c r="F61" s="9" t="n">
        <v>1043.321965</v>
      </c>
      <c r="G61" s="9" t="n">
        <v>848.15759</v>
      </c>
      <c r="H61" s="9" t="n">
        <v>1699.297</v>
      </c>
      <c r="I61" s="52" t="n">
        <v>1335.008</v>
      </c>
      <c r="J61" s="20" t="n"/>
    </row>
    <row r="62">
      <c r="A62" s="20" t="inlineStr">
        <is>
          <t>2008/09</t>
        </is>
      </c>
      <c r="B62" s="51" t="n">
        <v>39814</v>
      </c>
      <c r="C62" s="20" t="inlineStr">
        <is>
          <t>January</t>
        </is>
      </c>
      <c r="D62" s="9" t="n">
        <v>1539</v>
      </c>
      <c r="E62" s="9" t="n">
        <v>1262.662</v>
      </c>
      <c r="F62" s="9" t="n">
        <v>663.057175</v>
      </c>
      <c r="G62" s="9" t="n">
        <v>1167.741474</v>
      </c>
      <c r="H62" s="9" t="n">
        <v>1551.224</v>
      </c>
      <c r="I62" s="52" t="n">
        <v>1696.825</v>
      </c>
      <c r="J62" s="20" t="n"/>
    </row>
    <row r="63">
      <c r="A63" s="20" t="inlineStr">
        <is>
          <t>2008/09</t>
        </is>
      </c>
      <c r="B63" s="51" t="n">
        <v>39845</v>
      </c>
      <c r="C63" s="20" t="inlineStr">
        <is>
          <t>February</t>
        </is>
      </c>
      <c r="D63" s="9" t="n">
        <v>1519.147</v>
      </c>
      <c r="E63" s="9" t="n">
        <v>1308.016</v>
      </c>
      <c r="F63" s="9" t="n">
        <v>1045.416845</v>
      </c>
      <c r="G63" s="9" t="n">
        <v>1107.06811</v>
      </c>
      <c r="H63" s="9" t="n">
        <v>1816.13</v>
      </c>
      <c r="I63" s="52" t="n">
        <v>1485.79</v>
      </c>
      <c r="J63" s="20" t="n"/>
    </row>
    <row r="64">
      <c r="A64" s="20" t="inlineStr">
        <is>
          <t>2008/09</t>
        </is>
      </c>
      <c r="B64" s="51" t="n">
        <v>39873</v>
      </c>
      <c r="C64" s="20" t="inlineStr">
        <is>
          <t>March</t>
        </is>
      </c>
      <c r="D64" s="9" t="n">
        <v>2056.962</v>
      </c>
      <c r="E64" s="9" t="n">
        <v>1995.53</v>
      </c>
      <c r="F64" s="9" t="n">
        <v>1103.66893</v>
      </c>
      <c r="G64" s="9" t="n">
        <v>519.969475</v>
      </c>
      <c r="H64" s="9" t="n">
        <v>2325.69</v>
      </c>
      <c r="I64" s="52" t="n">
        <v>1483.31</v>
      </c>
      <c r="J64" s="20" t="n"/>
    </row>
    <row r="65">
      <c r="A65" s="20" t="inlineStr">
        <is>
          <t>2008/09</t>
        </is>
      </c>
      <c r="B65" s="51" t="n">
        <v>39904</v>
      </c>
      <c r="C65" s="20" t="inlineStr">
        <is>
          <t>April</t>
        </is>
      </c>
      <c r="D65" s="9" t="n">
        <v>1658.909</v>
      </c>
      <c r="E65" s="9" t="n">
        <v>1618.093</v>
      </c>
      <c r="F65" s="9" t="n">
        <v>1220.716231</v>
      </c>
      <c r="G65" s="9" t="n">
        <v>460.28032</v>
      </c>
      <c r="H65" s="9" t="n">
        <v>2052.362</v>
      </c>
      <c r="I65" s="52" t="n">
        <v>2194.382</v>
      </c>
      <c r="J65" s="20" t="n"/>
    </row>
    <row r="66">
      <c r="A66" s="20" t="inlineStr">
        <is>
          <t>2008/09</t>
        </is>
      </c>
      <c r="B66" s="51" t="n">
        <v>39934</v>
      </c>
      <c r="C66" s="20" t="inlineStr">
        <is>
          <t>May</t>
        </is>
      </c>
      <c r="D66" s="9" t="n">
        <v>1787.816</v>
      </c>
      <c r="E66" s="9" t="n">
        <v>1294.053</v>
      </c>
      <c r="F66" s="9" t="n">
        <v>1081.793825</v>
      </c>
      <c r="G66" s="9" t="n">
        <v>331.23043</v>
      </c>
      <c r="H66" s="9" t="n">
        <v>1722.172</v>
      </c>
      <c r="I66" s="52" t="n">
        <v>1944.835</v>
      </c>
      <c r="J66" s="20" t="n"/>
    </row>
    <row r="67">
      <c r="A67" s="20" t="inlineStr">
        <is>
          <t>2008/09</t>
        </is>
      </c>
      <c r="B67" s="51" t="n">
        <v>39965</v>
      </c>
      <c r="C67" s="20" t="inlineStr">
        <is>
          <t>June</t>
        </is>
      </c>
      <c r="D67" s="9" t="n">
        <v>1735.41</v>
      </c>
      <c r="E67" s="9" t="n">
        <v>1640.471</v>
      </c>
      <c r="F67" s="9" t="n">
        <v>834.920608</v>
      </c>
      <c r="G67" s="9" t="n">
        <v>180.436995</v>
      </c>
      <c r="H67" s="9" t="n">
        <v>2209.853</v>
      </c>
      <c r="I67" s="52" t="n">
        <v>1570.332</v>
      </c>
      <c r="J67" s="20" t="n"/>
    </row>
    <row r="68">
      <c r="A68" s="20" t="inlineStr">
        <is>
          <t>2009/10</t>
        </is>
      </c>
      <c r="B68" s="51" t="n">
        <v>39995</v>
      </c>
      <c r="C68" s="20" t="inlineStr">
        <is>
          <t>July</t>
        </is>
      </c>
      <c r="D68" s="9" t="n">
        <v>1594.09</v>
      </c>
      <c r="E68" s="9" t="n">
        <v>1048.98</v>
      </c>
      <c r="F68" s="9" t="n">
        <v>592.8435500000001</v>
      </c>
      <c r="G68" s="9" t="n">
        <v>67.64029499999999</v>
      </c>
      <c r="H68" s="9" t="n">
        <v>1622.509</v>
      </c>
      <c r="I68" s="52" t="n">
        <v>1426.572</v>
      </c>
      <c r="J68" s="20" t="n"/>
    </row>
    <row r="69">
      <c r="A69" s="20" t="inlineStr">
        <is>
          <t>2009/10</t>
        </is>
      </c>
      <c r="B69" s="51" t="n">
        <v>40026</v>
      </c>
      <c r="C69" s="20" t="inlineStr">
        <is>
          <t>August</t>
        </is>
      </c>
      <c r="D69" s="9" t="n">
        <v>1884.094</v>
      </c>
      <c r="E69" s="9" t="n">
        <v>1241.465</v>
      </c>
      <c r="F69" s="9" t="n">
        <v>1148.982647</v>
      </c>
      <c r="G69" s="9" t="n">
        <v>34.760415</v>
      </c>
      <c r="H69" s="9" t="n">
        <v>1696.696</v>
      </c>
      <c r="I69" s="52" t="n">
        <v>1632.415</v>
      </c>
      <c r="J69" s="20" t="n"/>
    </row>
    <row r="70">
      <c r="A70" s="20" t="inlineStr">
        <is>
          <t>2009/10</t>
        </is>
      </c>
      <c r="B70" s="51" t="n">
        <v>40057</v>
      </c>
      <c r="C70" s="20" t="inlineStr">
        <is>
          <t>September</t>
        </is>
      </c>
      <c r="D70" s="9" t="n">
        <v>2697.617</v>
      </c>
      <c r="E70" s="9" t="n">
        <v>981.522</v>
      </c>
      <c r="F70" s="9" t="n">
        <v>1793.2316</v>
      </c>
      <c r="G70" s="9" t="n">
        <v>0.516629</v>
      </c>
      <c r="H70" s="9" t="n">
        <v>2018.924</v>
      </c>
      <c r="I70" s="52" t="n">
        <v>1406.594</v>
      </c>
      <c r="J70" s="20" t="n"/>
    </row>
    <row r="71">
      <c r="A71" s="20" t="inlineStr">
        <is>
          <t>2009/10</t>
        </is>
      </c>
      <c r="B71" s="51" t="n">
        <v>40087</v>
      </c>
      <c r="C71" s="20" t="inlineStr">
        <is>
          <t>October</t>
        </is>
      </c>
      <c r="D71" s="9" t="n">
        <v>2122.227</v>
      </c>
      <c r="E71" s="9" t="n">
        <v>761.3440000000001</v>
      </c>
      <c r="F71" s="9" t="n">
        <v>1248.141941</v>
      </c>
      <c r="G71" s="9" t="n">
        <v>213.179872</v>
      </c>
      <c r="H71" s="9" t="n">
        <v>1835.94</v>
      </c>
      <c r="I71" s="52" t="n">
        <v>1562.192</v>
      </c>
      <c r="J71" s="20" t="n"/>
    </row>
    <row r="72">
      <c r="A72" s="20" t="inlineStr">
        <is>
          <t>2009/10</t>
        </is>
      </c>
      <c r="B72" s="51" t="n">
        <v>40118</v>
      </c>
      <c r="C72" s="20" t="inlineStr">
        <is>
          <t>November</t>
        </is>
      </c>
      <c r="D72" s="9" t="n">
        <v>1841.381</v>
      </c>
      <c r="E72" s="9" t="n">
        <v>766.697</v>
      </c>
      <c r="F72" s="9" t="n">
        <v>935.974283</v>
      </c>
      <c r="G72" s="9" t="n">
        <v>486.163723</v>
      </c>
      <c r="H72" s="9" t="n">
        <v>1200.747</v>
      </c>
      <c r="I72" s="52" t="n">
        <v>1509.493</v>
      </c>
      <c r="J72" s="20" t="n"/>
    </row>
    <row r="73">
      <c r="A73" s="20" t="inlineStr">
        <is>
          <t>2009/10</t>
        </is>
      </c>
      <c r="B73" s="51" t="n">
        <v>40148</v>
      </c>
      <c r="C73" s="20" t="inlineStr">
        <is>
          <t>December</t>
        </is>
      </c>
      <c r="D73" s="9" t="n">
        <v>1483.328</v>
      </c>
      <c r="E73" s="9" t="n">
        <v>1077.231</v>
      </c>
      <c r="F73" s="9" t="n">
        <v>1036.102631</v>
      </c>
      <c r="G73" s="9" t="n">
        <v>549.019355</v>
      </c>
      <c r="H73" s="9" t="n">
        <v>1420.845</v>
      </c>
      <c r="I73" s="52" t="n">
        <v>1366.369</v>
      </c>
      <c r="J73" s="20" t="n"/>
    </row>
    <row r="74">
      <c r="A74" s="20" t="inlineStr">
        <is>
          <t>2009/10</t>
        </is>
      </c>
      <c r="B74" s="51" t="n">
        <v>40179</v>
      </c>
      <c r="C74" s="20" t="inlineStr">
        <is>
          <t>January</t>
        </is>
      </c>
      <c r="D74" s="9" t="n">
        <v>1689.616</v>
      </c>
      <c r="E74" s="9" t="n">
        <v>1385.521</v>
      </c>
      <c r="F74" s="9" t="n">
        <v>608.6627</v>
      </c>
      <c r="G74" s="9" t="n">
        <v>571.236898</v>
      </c>
      <c r="H74" s="9" t="n">
        <v>1560.154</v>
      </c>
      <c r="I74" s="52" t="n">
        <v>1582.848</v>
      </c>
      <c r="J74" s="9" t="n">
        <v>0</v>
      </c>
    </row>
    <row r="75">
      <c r="A75" s="20" t="inlineStr">
        <is>
          <t>2009/10</t>
        </is>
      </c>
      <c r="B75" s="51" t="n">
        <v>40210</v>
      </c>
      <c r="C75" s="20" t="inlineStr">
        <is>
          <t>February</t>
        </is>
      </c>
      <c r="D75" s="9" t="n">
        <v>2125.368</v>
      </c>
      <c r="E75" s="9" t="n">
        <v>1226.439</v>
      </c>
      <c r="F75" s="9" t="n">
        <v>318.228967</v>
      </c>
      <c r="G75" s="9" t="n">
        <v>420.4872</v>
      </c>
      <c r="H75" s="9" t="n">
        <v>1866.299</v>
      </c>
      <c r="I75" s="52" t="n">
        <v>1291.79</v>
      </c>
      <c r="J75" s="9" t="n">
        <v>0</v>
      </c>
    </row>
    <row r="76">
      <c r="A76" s="20" t="inlineStr">
        <is>
          <t>2009/10</t>
        </is>
      </c>
      <c r="B76" s="51" t="n">
        <v>40238</v>
      </c>
      <c r="C76" s="20" t="inlineStr">
        <is>
          <t>March</t>
        </is>
      </c>
      <c r="D76" s="9" t="n">
        <v>2009.733</v>
      </c>
      <c r="E76" s="9" t="n">
        <v>1447.307</v>
      </c>
      <c r="F76" s="9" t="n">
        <v>544.947716</v>
      </c>
      <c r="G76" s="9" t="n">
        <v>316.341871</v>
      </c>
      <c r="H76" s="9" t="n">
        <v>1851.755</v>
      </c>
      <c r="I76" s="52" t="n">
        <v>1529.833</v>
      </c>
      <c r="J76" s="9" t="n">
        <v>0.0247</v>
      </c>
    </row>
    <row r="77">
      <c r="A77" s="20" t="inlineStr">
        <is>
          <t>2009/10</t>
        </is>
      </c>
      <c r="B77" s="51" t="n">
        <v>40269</v>
      </c>
      <c r="C77" s="20" t="inlineStr">
        <is>
          <t>April</t>
        </is>
      </c>
      <c r="D77" s="9" t="n">
        <v>2093.784</v>
      </c>
      <c r="E77" s="9" t="n">
        <v>1051.912</v>
      </c>
      <c r="F77" s="9" t="n">
        <v>337.830639</v>
      </c>
      <c r="G77" s="9" t="n">
        <v>438.16073</v>
      </c>
      <c r="H77" s="9" t="n">
        <v>1832.308</v>
      </c>
      <c r="I77" s="52" t="n">
        <v>1695.688</v>
      </c>
      <c r="J77" s="9" t="n">
        <v>0</v>
      </c>
    </row>
    <row r="78">
      <c r="A78" s="20" t="inlineStr">
        <is>
          <t>2009/10</t>
        </is>
      </c>
      <c r="B78" s="51" t="n">
        <v>40299</v>
      </c>
      <c r="C78" s="20" t="inlineStr">
        <is>
          <t>May</t>
        </is>
      </c>
      <c r="D78" s="9" t="n">
        <v>1836.92</v>
      </c>
      <c r="E78" s="9" t="n">
        <v>1464.173</v>
      </c>
      <c r="F78" s="9" t="n">
        <v>231.905917</v>
      </c>
      <c r="G78" s="9" t="n">
        <v>411.293095</v>
      </c>
      <c r="H78" s="9" t="n">
        <v>1784.899</v>
      </c>
      <c r="I78" s="52" t="n">
        <v>2036.991</v>
      </c>
      <c r="J78" s="9" t="n">
        <v>0</v>
      </c>
    </row>
    <row r="79">
      <c r="A79" s="20" t="inlineStr">
        <is>
          <t>2009/10</t>
        </is>
      </c>
      <c r="B79" s="51" t="n">
        <v>40330</v>
      </c>
      <c r="C79" s="20" t="inlineStr">
        <is>
          <t>June</t>
        </is>
      </c>
      <c r="D79" s="9" t="n">
        <v>1958.479</v>
      </c>
      <c r="E79" s="9" t="n">
        <v>1138.122</v>
      </c>
      <c r="F79" s="9" t="n">
        <v>204.652579</v>
      </c>
      <c r="G79" s="9" t="n">
        <v>444.757075</v>
      </c>
      <c r="H79" s="9" t="n">
        <v>1954.54</v>
      </c>
      <c r="I79" s="52" t="n">
        <v>1674.487</v>
      </c>
      <c r="J79" s="9" t="n">
        <v>0.014604</v>
      </c>
    </row>
    <row r="80">
      <c r="A80" s="20" t="inlineStr">
        <is>
          <t>2010/11</t>
        </is>
      </c>
      <c r="B80" s="51" t="n">
        <v>40360</v>
      </c>
      <c r="C80" s="20" t="inlineStr">
        <is>
          <t>July</t>
        </is>
      </c>
      <c r="D80" s="9" t="n">
        <v>2213.007</v>
      </c>
      <c r="E80" s="9" t="n">
        <v>1604.993</v>
      </c>
      <c r="F80" s="9" t="n">
        <v>217.944427</v>
      </c>
      <c r="G80" s="9" t="n">
        <v>253.3402</v>
      </c>
      <c r="H80" s="9" t="n">
        <v>1275.928</v>
      </c>
      <c r="I80" s="52" t="n">
        <v>1471.255</v>
      </c>
      <c r="J80" s="9" t="n">
        <v>0</v>
      </c>
    </row>
    <row r="81">
      <c r="A81" s="20" t="inlineStr">
        <is>
          <t>2010/11</t>
        </is>
      </c>
      <c r="B81" s="51" t="n">
        <v>40391</v>
      </c>
      <c r="C81" s="20" t="inlineStr">
        <is>
          <t>August</t>
        </is>
      </c>
      <c r="D81" s="9" t="n">
        <v>2896.203</v>
      </c>
      <c r="E81" s="9" t="n">
        <v>1384.029</v>
      </c>
      <c r="F81" s="9" t="n">
        <v>422.913097</v>
      </c>
      <c r="G81" s="9" t="n">
        <v>140.92143</v>
      </c>
      <c r="H81" s="9" t="n">
        <v>1440.201</v>
      </c>
      <c r="I81" s="52" t="n">
        <v>1418.002</v>
      </c>
      <c r="J81" s="9" t="n">
        <v>0.261981</v>
      </c>
    </row>
    <row r="82">
      <c r="A82" s="20" t="inlineStr">
        <is>
          <t>2010/11</t>
        </is>
      </c>
      <c r="B82" s="51" t="n">
        <v>40422</v>
      </c>
      <c r="C82" s="20" t="inlineStr">
        <is>
          <t>September</t>
        </is>
      </c>
      <c r="D82" s="9" t="n">
        <v>3428.069</v>
      </c>
      <c r="E82" s="9" t="n">
        <v>1352.893</v>
      </c>
      <c r="F82" s="9" t="n">
        <v>608.319821</v>
      </c>
      <c r="G82" s="9" t="n">
        <v>147.52524</v>
      </c>
      <c r="H82" s="9" t="n">
        <v>2955.652</v>
      </c>
      <c r="I82" s="52" t="n">
        <v>1405.556</v>
      </c>
      <c r="J82" s="9" t="n">
        <v>0.0314</v>
      </c>
    </row>
    <row r="83">
      <c r="A83" s="20" t="inlineStr">
        <is>
          <t>2010/11</t>
        </is>
      </c>
      <c r="B83" s="51" t="n">
        <v>40452</v>
      </c>
      <c r="C83" s="20" t="inlineStr">
        <is>
          <t>October</t>
        </is>
      </c>
      <c r="D83" s="9" t="n">
        <v>2446.992</v>
      </c>
      <c r="E83" s="9" t="n">
        <v>1637.818</v>
      </c>
      <c r="F83" s="9" t="n">
        <v>753.955146</v>
      </c>
      <c r="G83" s="9" t="n">
        <v>75.022195</v>
      </c>
      <c r="H83" s="9" t="n">
        <v>2335.978</v>
      </c>
      <c r="I83" s="52" t="n">
        <v>1411.192</v>
      </c>
      <c r="J83" s="9" t="n">
        <v>0.0025</v>
      </c>
    </row>
    <row r="84">
      <c r="A84" s="20" t="inlineStr">
        <is>
          <t>2010/11</t>
        </is>
      </c>
      <c r="B84" s="51" t="n">
        <v>40483</v>
      </c>
      <c r="C84" s="20" t="inlineStr">
        <is>
          <t>November</t>
        </is>
      </c>
      <c r="D84" s="9" t="n">
        <v>2430.691</v>
      </c>
      <c r="E84" s="9" t="n">
        <v>912.782</v>
      </c>
      <c r="F84" s="9" t="n">
        <v>195.079622</v>
      </c>
      <c r="G84" s="9" t="n">
        <v>53.8447</v>
      </c>
      <c r="H84" s="9" t="n">
        <v>2321.309</v>
      </c>
      <c r="I84" s="52" t="n">
        <v>1392.713</v>
      </c>
      <c r="J84" s="9" t="n">
        <v>0</v>
      </c>
    </row>
    <row r="85">
      <c r="A85" s="20" t="inlineStr">
        <is>
          <t>2010/11</t>
        </is>
      </c>
      <c r="B85" s="51" t="n">
        <v>40513</v>
      </c>
      <c r="C85" s="20" t="inlineStr">
        <is>
          <t>December</t>
        </is>
      </c>
      <c r="D85" s="9" t="n">
        <v>2478.685</v>
      </c>
      <c r="E85" s="9" t="n">
        <v>1246.424</v>
      </c>
      <c r="F85" s="9" t="n">
        <v>361.723929</v>
      </c>
      <c r="G85" s="9" t="n">
        <v>766.066045</v>
      </c>
      <c r="H85" s="9" t="n">
        <v>1521.188</v>
      </c>
      <c r="I85" s="52" t="n">
        <v>1484.137</v>
      </c>
      <c r="J85" s="9" t="n">
        <v>0.040091</v>
      </c>
    </row>
    <row r="86">
      <c r="A86" s="20" t="inlineStr">
        <is>
          <t>2010/11</t>
        </is>
      </c>
      <c r="B86" s="51" t="n">
        <v>40544</v>
      </c>
      <c r="C86" s="20" t="inlineStr">
        <is>
          <t>January</t>
        </is>
      </c>
      <c r="D86" s="9" t="n">
        <v>2984.609</v>
      </c>
      <c r="E86" s="9" t="n">
        <v>1755.268</v>
      </c>
      <c r="F86" s="9" t="n">
        <v>37.05539</v>
      </c>
      <c r="G86" s="9" t="n">
        <v>1124.628169</v>
      </c>
      <c r="H86" s="9" t="n">
        <v>1347.949</v>
      </c>
      <c r="I86" s="52" t="n">
        <v>1040.634</v>
      </c>
      <c r="J86" s="9" t="n">
        <v>0.021748</v>
      </c>
    </row>
    <row r="87">
      <c r="A87" s="20" t="inlineStr">
        <is>
          <t>2010/11</t>
        </is>
      </c>
      <c r="B87" s="51" t="n">
        <v>40575</v>
      </c>
      <c r="C87" s="20" t="inlineStr">
        <is>
          <t>February</t>
        </is>
      </c>
      <c r="D87" s="9" t="n">
        <v>2757.889</v>
      </c>
      <c r="E87" s="9" t="n">
        <v>1836.555</v>
      </c>
      <c r="F87" s="9" t="n">
        <v>193.946971</v>
      </c>
      <c r="G87" s="9" t="n">
        <v>1156.356981</v>
      </c>
      <c r="H87" s="9" t="n">
        <v>1620.752</v>
      </c>
      <c r="I87" s="52" t="n">
        <v>932.559</v>
      </c>
      <c r="J87" s="9" t="n">
        <v>0.006048</v>
      </c>
    </row>
    <row r="88">
      <c r="A88" s="20" t="inlineStr">
        <is>
          <t>2010/11</t>
        </is>
      </c>
      <c r="B88" s="51" t="n">
        <v>40603</v>
      </c>
      <c r="C88" s="20" t="inlineStr">
        <is>
          <t>March</t>
        </is>
      </c>
      <c r="D88" s="9" t="n">
        <v>3370.651</v>
      </c>
      <c r="E88" s="9" t="n">
        <v>1678.182</v>
      </c>
      <c r="F88" s="9" t="n">
        <v>322.601368</v>
      </c>
      <c r="G88" s="9" t="n">
        <v>984.884908</v>
      </c>
      <c r="H88" s="9" t="n">
        <v>2439.697</v>
      </c>
      <c r="I88" s="52" t="n">
        <v>1272.251</v>
      </c>
      <c r="J88" s="9" t="n">
        <v>0.0161</v>
      </c>
    </row>
    <row r="89">
      <c r="A89" s="20" t="inlineStr">
        <is>
          <t>2010/11</t>
        </is>
      </c>
      <c r="B89" s="51" t="n">
        <v>40634</v>
      </c>
      <c r="C89" s="20" t="inlineStr">
        <is>
          <t>April</t>
        </is>
      </c>
      <c r="D89" s="9" t="n">
        <v>4019.312</v>
      </c>
      <c r="E89" s="9" t="n">
        <v>1687.925</v>
      </c>
      <c r="F89" s="9" t="n">
        <v>152.734438</v>
      </c>
      <c r="G89" s="9" t="n">
        <v>636.04063</v>
      </c>
      <c r="H89" s="9" t="n">
        <v>1344.355</v>
      </c>
      <c r="I89" s="52" t="n">
        <v>1618.733</v>
      </c>
      <c r="J89" s="9" t="n">
        <v>0</v>
      </c>
    </row>
    <row r="90">
      <c r="A90" s="20" t="inlineStr">
        <is>
          <t>2010/11</t>
        </is>
      </c>
      <c r="B90" s="51" t="n">
        <v>40664</v>
      </c>
      <c r="C90" s="20" t="inlineStr">
        <is>
          <t>May</t>
        </is>
      </c>
      <c r="D90" s="9" t="n">
        <v>3514.881</v>
      </c>
      <c r="E90" s="9" t="n">
        <v>1812.67</v>
      </c>
      <c r="F90" s="9" t="n">
        <v>72.59598200000001</v>
      </c>
      <c r="G90" s="9" t="n">
        <v>479.992345</v>
      </c>
      <c r="H90" s="9" t="n">
        <v>1565.721</v>
      </c>
      <c r="I90" s="52" t="n">
        <v>1540.336</v>
      </c>
      <c r="J90" s="9" t="n">
        <v>0.004</v>
      </c>
    </row>
    <row r="91">
      <c r="A91" s="20" t="inlineStr">
        <is>
          <t>2010/11</t>
        </is>
      </c>
      <c r="B91" s="51" t="n">
        <v>40695</v>
      </c>
      <c r="C91" s="20" t="inlineStr">
        <is>
          <t>June</t>
        </is>
      </c>
      <c r="D91" s="9" t="n">
        <v>2877.162</v>
      </c>
      <c r="E91" s="9" t="n">
        <v>1437.97</v>
      </c>
      <c r="F91" s="9" t="n">
        <v>806.272743</v>
      </c>
      <c r="G91" s="9" t="n">
        <v>588.281987</v>
      </c>
      <c r="H91" s="9" t="n">
        <v>1113.846</v>
      </c>
      <c r="I91" s="52" t="n">
        <v>1484.163</v>
      </c>
      <c r="J91" s="9" t="n">
        <v>0.2093</v>
      </c>
    </row>
    <row r="92">
      <c r="A92" s="20" t="inlineStr">
        <is>
          <t>2011/12</t>
        </is>
      </c>
      <c r="B92" s="51" t="n">
        <v>40725</v>
      </c>
      <c r="C92" s="20" t="inlineStr">
        <is>
          <t>July</t>
        </is>
      </c>
      <c r="D92" s="9" t="n">
        <v>2270.128</v>
      </c>
      <c r="E92" s="9" t="n">
        <v>1687.524</v>
      </c>
      <c r="F92" s="9" t="n">
        <v>136.992586</v>
      </c>
      <c r="G92" s="9" t="n">
        <v>377.988275</v>
      </c>
      <c r="H92" s="9" t="n">
        <v>1022.072</v>
      </c>
      <c r="I92" s="52" t="n">
        <v>1282.557</v>
      </c>
      <c r="J92" s="9" t="n">
        <v>2.8</v>
      </c>
    </row>
    <row r="93">
      <c r="A93" s="20" t="inlineStr">
        <is>
          <t>2011/12</t>
        </is>
      </c>
      <c r="B93" s="51" t="n">
        <v>40756</v>
      </c>
      <c r="C93" s="20" t="inlineStr">
        <is>
          <t>August</t>
        </is>
      </c>
      <c r="D93" s="9" t="n">
        <v>2723.925</v>
      </c>
      <c r="E93" s="9" t="n">
        <v>1383.805</v>
      </c>
      <c r="F93" s="9" t="n">
        <v>567.21168</v>
      </c>
      <c r="G93" s="9" t="n">
        <v>629.141563</v>
      </c>
      <c r="H93" s="9" t="n">
        <v>1198.585</v>
      </c>
      <c r="I93" s="52" t="n">
        <v>1385.794</v>
      </c>
      <c r="J93" s="9" t="n">
        <v>0</v>
      </c>
    </row>
    <row r="94">
      <c r="A94" s="20" t="inlineStr">
        <is>
          <t>2011/12</t>
        </is>
      </c>
      <c r="B94" s="51" t="n">
        <v>40787</v>
      </c>
      <c r="C94" s="20" t="inlineStr">
        <is>
          <t>September</t>
        </is>
      </c>
      <c r="D94" s="9" t="n">
        <v>2707.739</v>
      </c>
      <c r="E94" s="9" t="n">
        <v>1437.965</v>
      </c>
      <c r="F94" s="9" t="n">
        <v>830.188033</v>
      </c>
      <c r="G94" s="9" t="n">
        <v>488.350178</v>
      </c>
      <c r="H94" s="9" t="n">
        <v>1837.812</v>
      </c>
      <c r="I94" s="52" t="n">
        <v>1438.396</v>
      </c>
      <c r="J94" s="9" t="n">
        <v>19.060662</v>
      </c>
    </row>
    <row r="95">
      <c r="A95" s="20" t="inlineStr">
        <is>
          <t>2011/12</t>
        </is>
      </c>
      <c r="B95" s="51" t="n">
        <v>40817</v>
      </c>
      <c r="C95" s="20" t="inlineStr">
        <is>
          <t>October</t>
        </is>
      </c>
      <c r="D95" s="9" t="n">
        <v>1962.121</v>
      </c>
      <c r="E95" s="9" t="n">
        <v>1169.323</v>
      </c>
      <c r="F95" s="9" t="n">
        <v>140.14699</v>
      </c>
      <c r="G95" s="9" t="n">
        <v>451.00296</v>
      </c>
      <c r="H95" s="9" t="n">
        <v>1485.748</v>
      </c>
      <c r="I95" s="52" t="n">
        <v>1327.339</v>
      </c>
      <c r="J95" s="9" t="n">
        <v>149.966964</v>
      </c>
    </row>
    <row r="96">
      <c r="A96" s="20" t="inlineStr">
        <is>
          <t>2011/12</t>
        </is>
      </c>
      <c r="B96" s="51" t="n">
        <v>40848</v>
      </c>
      <c r="C96" s="20" t="inlineStr">
        <is>
          <t>November</t>
        </is>
      </c>
      <c r="D96" s="9" t="n">
        <v>1667.605</v>
      </c>
      <c r="E96" s="9" t="n">
        <v>1762.412</v>
      </c>
      <c r="F96" s="9" t="n">
        <v>466.289575</v>
      </c>
      <c r="G96" s="9" t="n">
        <v>449.352335</v>
      </c>
      <c r="H96" s="9" t="n">
        <v>1804.546</v>
      </c>
      <c r="I96" s="52" t="n">
        <v>1460.85</v>
      </c>
      <c r="J96" s="9" t="n">
        <v>150.686532</v>
      </c>
    </row>
    <row r="97">
      <c r="A97" s="20" t="inlineStr">
        <is>
          <t>2011/12</t>
        </is>
      </c>
      <c r="B97" s="51" t="n">
        <v>40878</v>
      </c>
      <c r="C97" s="20" t="inlineStr">
        <is>
          <t>December</t>
        </is>
      </c>
      <c r="D97" s="9" t="n">
        <v>1945.931</v>
      </c>
      <c r="E97" s="9" t="n">
        <v>2034.731</v>
      </c>
      <c r="F97" s="9" t="n">
        <v>339.447281</v>
      </c>
      <c r="G97" s="9" t="n">
        <v>824.0025000000001</v>
      </c>
      <c r="H97" s="9" t="n">
        <v>1226.263</v>
      </c>
      <c r="I97" s="52" t="n">
        <v>1551.25</v>
      </c>
      <c r="J97" s="9" t="n">
        <v>177.154079</v>
      </c>
    </row>
    <row r="98">
      <c r="A98" s="20" t="inlineStr">
        <is>
          <t>2011/12</t>
        </is>
      </c>
      <c r="B98" s="51" t="n">
        <v>40909</v>
      </c>
      <c r="C98" s="20" t="inlineStr">
        <is>
          <t>January</t>
        </is>
      </c>
      <c r="D98" s="9" t="n">
        <v>1979.748</v>
      </c>
      <c r="E98" s="9" t="n">
        <v>2130.033</v>
      </c>
      <c r="F98" s="9" t="n">
        <v>362.592869</v>
      </c>
      <c r="G98" s="9" t="n">
        <v>1363.221452</v>
      </c>
      <c r="H98" s="9" t="n">
        <v>1099.045</v>
      </c>
      <c r="I98" s="9" t="n">
        <v>1132.676</v>
      </c>
      <c r="J98" s="9" t="n">
        <v>100.888472</v>
      </c>
    </row>
    <row r="99">
      <c r="A99" s="20" t="inlineStr">
        <is>
          <t>2011/12</t>
        </is>
      </c>
      <c r="B99" s="51" t="n">
        <v>40940</v>
      </c>
      <c r="C99" s="20" t="inlineStr">
        <is>
          <t>February</t>
        </is>
      </c>
      <c r="D99" s="9" t="n">
        <v>1877.925</v>
      </c>
      <c r="E99" s="9" t="n">
        <v>2374.239</v>
      </c>
      <c r="F99" s="9" t="n">
        <v>378.682095</v>
      </c>
      <c r="G99" s="9" t="n">
        <v>1447.338171</v>
      </c>
      <c r="H99" s="9" t="n">
        <v>949.638</v>
      </c>
      <c r="I99" s="9" t="n">
        <v>1375.41</v>
      </c>
      <c r="J99" s="9" t="n">
        <v>67.96812</v>
      </c>
    </row>
    <row r="100">
      <c r="A100" s="20" t="inlineStr">
        <is>
          <t>2011/12</t>
        </is>
      </c>
      <c r="B100" s="51" t="n">
        <v>40969</v>
      </c>
      <c r="C100" s="20" t="inlineStr">
        <is>
          <t>March</t>
        </is>
      </c>
      <c r="D100" s="9" t="n">
        <v>2360.456</v>
      </c>
      <c r="E100" s="9" t="n">
        <v>2056.558</v>
      </c>
      <c r="F100" s="9" t="n">
        <v>564.733126</v>
      </c>
      <c r="G100" s="9" t="n">
        <v>1276.964035</v>
      </c>
      <c r="H100" s="9" t="n">
        <v>1504.458</v>
      </c>
      <c r="I100" s="9" t="n">
        <v>1591.519</v>
      </c>
      <c r="J100" s="9" t="n">
        <v>72.033244</v>
      </c>
    </row>
    <row r="101">
      <c r="A101" s="20" t="inlineStr">
        <is>
          <t>2011/12</t>
        </is>
      </c>
      <c r="B101" s="51" t="n">
        <v>41000</v>
      </c>
      <c r="C101" s="20" t="inlineStr">
        <is>
          <t>April</t>
        </is>
      </c>
      <c r="D101" s="9" t="n">
        <v>2823.982</v>
      </c>
      <c r="E101" s="9" t="n">
        <v>2356.081</v>
      </c>
      <c r="F101" s="9" t="n">
        <v>489.802652</v>
      </c>
      <c r="G101" s="9" t="n">
        <v>1220.779415</v>
      </c>
      <c r="H101" s="9" t="n">
        <v>1087.147</v>
      </c>
      <c r="I101" s="9" t="n">
        <v>1916.926</v>
      </c>
      <c r="J101" s="9" t="n">
        <v>116.557576</v>
      </c>
    </row>
    <row r="102">
      <c r="A102" s="20" t="inlineStr">
        <is>
          <t>2011/12</t>
        </is>
      </c>
      <c r="B102" s="51" t="n">
        <v>41030</v>
      </c>
      <c r="C102" s="20" t="inlineStr">
        <is>
          <t>May</t>
        </is>
      </c>
      <c r="D102" s="9" t="n">
        <v>2842.574</v>
      </c>
      <c r="E102" s="9" t="n">
        <v>2254.564</v>
      </c>
      <c r="F102" s="9" t="n">
        <v>599.680598</v>
      </c>
      <c r="G102" s="9" t="n">
        <v>1062.62135</v>
      </c>
      <c r="H102" s="9" t="n">
        <v>824.9</v>
      </c>
      <c r="I102" s="9" t="n">
        <v>1829.435</v>
      </c>
      <c r="J102" s="9" t="n">
        <v>204.045342</v>
      </c>
    </row>
    <row r="103">
      <c r="A103" s="20" t="inlineStr">
        <is>
          <t>2011/12</t>
        </is>
      </c>
      <c r="B103" s="51" t="n">
        <v>41061</v>
      </c>
      <c r="C103" s="20" t="inlineStr">
        <is>
          <t>June</t>
        </is>
      </c>
      <c r="D103" s="9" t="n">
        <v>2409.59</v>
      </c>
      <c r="E103" s="9" t="n">
        <v>2324.297</v>
      </c>
      <c r="F103" s="9" t="n">
        <v>314.33885</v>
      </c>
      <c r="G103" s="9" t="n">
        <v>986.76869</v>
      </c>
      <c r="H103" s="9" t="n">
        <v>642.715</v>
      </c>
      <c r="I103" s="9" t="n">
        <v>1043.661</v>
      </c>
      <c r="J103" s="9" t="n">
        <v>425.236992</v>
      </c>
    </row>
    <row r="104">
      <c r="A104" s="20" t="inlineStr">
        <is>
          <t>2012/13</t>
        </is>
      </c>
      <c r="B104" s="51" t="n">
        <v>41091</v>
      </c>
      <c r="C104" s="20" t="inlineStr">
        <is>
          <t>July</t>
        </is>
      </c>
      <c r="D104" s="9" t="n">
        <v>1915.318</v>
      </c>
      <c r="E104" s="9" t="n">
        <v>2257.272</v>
      </c>
      <c r="F104" s="9" t="n">
        <v>326.805361</v>
      </c>
      <c r="G104" s="9" t="n">
        <v>1327.41149</v>
      </c>
      <c r="H104" s="9" t="n">
        <v>554.958</v>
      </c>
      <c r="I104" s="9" t="n">
        <v>1034.855</v>
      </c>
      <c r="J104" s="9" t="n">
        <v>290.860639</v>
      </c>
    </row>
    <row r="105">
      <c r="A105" s="20" t="inlineStr">
        <is>
          <t>2012/13</t>
        </is>
      </c>
      <c r="B105" s="51" t="n">
        <v>41122</v>
      </c>
      <c r="C105" s="20" t="inlineStr">
        <is>
          <t>August</t>
        </is>
      </c>
      <c r="D105" s="9" t="n">
        <v>2656.897</v>
      </c>
      <c r="E105" s="9" t="n">
        <v>2172.467</v>
      </c>
      <c r="F105" s="9" t="n">
        <v>864.428544</v>
      </c>
      <c r="G105" s="9" t="n">
        <v>779.170145</v>
      </c>
      <c r="H105" s="9" t="n">
        <v>1347.616</v>
      </c>
      <c r="I105" s="9" t="n">
        <v>1662.475</v>
      </c>
      <c r="J105" s="9" t="n">
        <v>479.001213</v>
      </c>
    </row>
    <row r="106">
      <c r="A106" s="20" t="inlineStr">
        <is>
          <t>2012/13</t>
        </is>
      </c>
      <c r="B106" s="51" t="n">
        <v>41153</v>
      </c>
      <c r="C106" s="20" t="inlineStr">
        <is>
          <t>September</t>
        </is>
      </c>
      <c r="D106" s="9" t="n">
        <v>2526.664</v>
      </c>
      <c r="E106" s="9" t="n">
        <v>1701.136</v>
      </c>
      <c r="F106" s="9" t="n">
        <v>1243.85628</v>
      </c>
      <c r="G106" s="9" t="n">
        <v>573.7123800000001</v>
      </c>
      <c r="H106" s="9" t="n">
        <v>1690.341</v>
      </c>
      <c r="I106" s="9" t="n">
        <v>1445.817</v>
      </c>
      <c r="J106" s="9" t="n">
        <v>901.694745</v>
      </c>
    </row>
    <row r="107">
      <c r="A107" s="20" t="inlineStr">
        <is>
          <t>2012/13</t>
        </is>
      </c>
      <c r="B107" s="51" t="n">
        <v>41183</v>
      </c>
      <c r="C107" s="20" t="inlineStr">
        <is>
          <t>October</t>
        </is>
      </c>
      <c r="D107" s="9" t="n">
        <v>1432.971</v>
      </c>
      <c r="E107" s="9" t="n">
        <v>1585.834</v>
      </c>
      <c r="F107" s="9" t="n">
        <v>1502.33286</v>
      </c>
      <c r="G107" s="9" t="n">
        <v>453.112231</v>
      </c>
      <c r="H107" s="9" t="n">
        <v>2520.859</v>
      </c>
      <c r="I107" s="9" t="n">
        <v>1661.025</v>
      </c>
      <c r="J107" s="9" t="n">
        <v>657.533918</v>
      </c>
    </row>
    <row r="108">
      <c r="A108" s="20" t="inlineStr">
        <is>
          <t>2012/13</t>
        </is>
      </c>
      <c r="B108" s="51" t="n">
        <v>41214</v>
      </c>
      <c r="C108" s="20" t="inlineStr">
        <is>
          <t>November</t>
        </is>
      </c>
      <c r="D108" s="9" t="n">
        <v>1263.335</v>
      </c>
      <c r="E108" s="9" t="n">
        <v>1119.457</v>
      </c>
      <c r="F108" s="9" t="n">
        <v>1414.253055</v>
      </c>
      <c r="G108" s="9" t="n">
        <v>301.582015</v>
      </c>
      <c r="H108" s="9" t="n">
        <v>2397.25</v>
      </c>
      <c r="I108" s="9" t="n">
        <v>1528.581</v>
      </c>
      <c r="J108" s="9" t="n">
        <v>621.6258340000001</v>
      </c>
    </row>
    <row r="109">
      <c r="A109" s="20" t="inlineStr">
        <is>
          <t>2012/13</t>
        </is>
      </c>
      <c r="B109" s="51" t="n">
        <v>41244</v>
      </c>
      <c r="C109" s="20" t="inlineStr">
        <is>
          <t>December</t>
        </is>
      </c>
      <c r="D109" s="9" t="n">
        <v>1673.167</v>
      </c>
      <c r="E109" s="9" t="n">
        <v>1193.047</v>
      </c>
      <c r="F109" s="9" t="n">
        <v>529.987314</v>
      </c>
      <c r="G109" s="9" t="n">
        <v>722.9220299999999</v>
      </c>
      <c r="H109" s="9" t="n">
        <v>2295.629</v>
      </c>
      <c r="I109" s="9" t="n">
        <v>1644.44</v>
      </c>
      <c r="J109" s="9" t="n">
        <v>617.374689</v>
      </c>
    </row>
    <row r="110">
      <c r="A110" s="20" t="inlineStr">
        <is>
          <t>2012/13</t>
        </is>
      </c>
      <c r="B110" s="51" t="n">
        <v>41275</v>
      </c>
      <c r="C110" s="20" t="inlineStr">
        <is>
          <t>January</t>
        </is>
      </c>
      <c r="D110" s="9" t="n">
        <v>2095.477</v>
      </c>
      <c r="E110" s="9" t="n">
        <v>1798.884</v>
      </c>
      <c r="F110" s="9" t="n">
        <v>122.287524</v>
      </c>
      <c r="G110" s="9" t="n">
        <v>722.81898</v>
      </c>
      <c r="H110" s="9" t="n">
        <v>1974.623</v>
      </c>
      <c r="I110" s="9" t="n">
        <v>1706.481</v>
      </c>
      <c r="J110" s="9" t="n">
        <v>775.295262</v>
      </c>
    </row>
    <row r="111">
      <c r="A111" s="20" t="inlineStr">
        <is>
          <t>2012/13</t>
        </is>
      </c>
      <c r="B111" s="51" t="n">
        <v>41306</v>
      </c>
      <c r="C111" s="20" t="inlineStr">
        <is>
          <t>February</t>
        </is>
      </c>
      <c r="D111" s="9" t="n">
        <v>2499.047</v>
      </c>
      <c r="E111" s="9" t="n">
        <v>1894.698</v>
      </c>
      <c r="F111" s="9" t="n">
        <v>188.544314</v>
      </c>
      <c r="G111" s="9" t="n">
        <v>610.40748</v>
      </c>
      <c r="H111" s="9" t="n">
        <v>2393.81</v>
      </c>
      <c r="I111" s="9" t="n">
        <v>1291.288</v>
      </c>
      <c r="J111" s="9" t="n">
        <v>639.371563</v>
      </c>
    </row>
    <row r="112">
      <c r="A112" s="20" t="inlineStr">
        <is>
          <t>2012/13</t>
        </is>
      </c>
      <c r="B112" s="51" t="n">
        <v>41334</v>
      </c>
      <c r="C112" s="20" t="inlineStr">
        <is>
          <t>March</t>
        </is>
      </c>
      <c r="D112" s="9" t="n">
        <v>2815.144</v>
      </c>
      <c r="E112" s="9" t="n">
        <v>2033.329</v>
      </c>
      <c r="F112" s="9" t="n">
        <v>64.846616</v>
      </c>
      <c r="G112" s="9" t="n">
        <v>410.830491</v>
      </c>
      <c r="H112" s="9" t="n">
        <v>2562.201</v>
      </c>
      <c r="I112" s="9" t="n">
        <v>1601.935</v>
      </c>
      <c r="J112" s="9" t="n">
        <v>786.214144</v>
      </c>
    </row>
    <row r="113">
      <c r="A113" s="20" t="inlineStr">
        <is>
          <t>2012/13</t>
        </is>
      </c>
      <c r="B113" s="51" t="n">
        <v>41365</v>
      </c>
      <c r="C113" s="20" t="inlineStr">
        <is>
          <t>April</t>
        </is>
      </c>
      <c r="D113" s="9" t="n">
        <v>3027.075</v>
      </c>
      <c r="E113" s="9" t="n">
        <v>1820.488</v>
      </c>
      <c r="F113" s="9" t="n">
        <v>279.906089</v>
      </c>
      <c r="G113" s="9" t="n">
        <v>306.343275</v>
      </c>
      <c r="H113" s="9" t="n">
        <v>2164.014</v>
      </c>
      <c r="I113" s="9" t="n">
        <v>1812.667</v>
      </c>
      <c r="J113" s="9" t="n">
        <v>838.9374769999999</v>
      </c>
    </row>
    <row r="114">
      <c r="A114" s="20" t="inlineStr">
        <is>
          <t>2012/13</t>
        </is>
      </c>
      <c r="B114" s="51" t="n">
        <v>41395</v>
      </c>
      <c r="C114" s="20" t="inlineStr">
        <is>
          <t>May</t>
        </is>
      </c>
      <c r="D114" s="9" t="n">
        <v>2591.146</v>
      </c>
      <c r="E114" s="9" t="n">
        <v>2134.839</v>
      </c>
      <c r="F114" s="9" t="n">
        <v>163.937867</v>
      </c>
      <c r="G114" s="9" t="n">
        <v>247.24195</v>
      </c>
      <c r="H114" s="9" t="n">
        <v>1585.094</v>
      </c>
      <c r="I114" s="9" t="n">
        <v>1912.899</v>
      </c>
      <c r="J114" s="9" t="n">
        <v>850.660637</v>
      </c>
    </row>
    <row r="115">
      <c r="A115" s="20" t="inlineStr">
        <is>
          <t>2012/13</t>
        </is>
      </c>
      <c r="B115" s="51" t="n">
        <v>41426</v>
      </c>
      <c r="C115" s="20" t="inlineStr">
        <is>
          <t>June</t>
        </is>
      </c>
      <c r="D115" s="9" t="n">
        <v>2582.789</v>
      </c>
      <c r="E115" s="9" t="n">
        <v>1495.835</v>
      </c>
      <c r="F115" s="9" t="n">
        <v>129.046373</v>
      </c>
      <c r="G115" s="9" t="n">
        <v>83.27785</v>
      </c>
      <c r="H115" s="9" t="n">
        <v>1235.851</v>
      </c>
      <c r="I115" s="9" t="n">
        <v>1035.514</v>
      </c>
      <c r="J115" s="9" t="n">
        <v>847.878868</v>
      </c>
    </row>
    <row r="116">
      <c r="A116" s="20" t="inlineStr">
        <is>
          <t>2013/14</t>
        </is>
      </c>
      <c r="B116" s="51" t="n">
        <v>41456</v>
      </c>
      <c r="C116" s="20" t="inlineStr">
        <is>
          <t>July</t>
        </is>
      </c>
      <c r="D116" s="9" t="n">
        <v>3126.485</v>
      </c>
      <c r="E116" s="9" t="n">
        <v>1424.596</v>
      </c>
      <c r="F116" s="9" t="n">
        <v>260.262029</v>
      </c>
      <c r="G116" s="9" t="n">
        <v>0</v>
      </c>
      <c r="H116" s="9" t="n">
        <v>1489.475</v>
      </c>
      <c r="I116" s="9" t="n">
        <v>1401.002</v>
      </c>
      <c r="J116" s="9" t="n">
        <v>470.899665</v>
      </c>
    </row>
    <row r="117">
      <c r="A117" s="20" t="inlineStr">
        <is>
          <t>2013/14</t>
        </is>
      </c>
      <c r="B117" s="51" t="n">
        <v>41487</v>
      </c>
      <c r="C117" s="20" t="inlineStr">
        <is>
          <t>August</t>
        </is>
      </c>
      <c r="D117" s="9" t="n">
        <v>3869.792</v>
      </c>
      <c r="E117" s="9" t="n">
        <v>1097.946</v>
      </c>
      <c r="F117" s="9" t="n">
        <v>1297.364074</v>
      </c>
      <c r="G117" s="9" t="n">
        <v>0.69983</v>
      </c>
      <c r="H117" s="9" t="n">
        <v>2864.532</v>
      </c>
      <c r="I117" s="9" t="n">
        <v>1649.175</v>
      </c>
      <c r="J117" s="9" t="n">
        <v>340.38576</v>
      </c>
    </row>
    <row r="118">
      <c r="A118" s="20" t="inlineStr">
        <is>
          <t>2013/14</t>
        </is>
      </c>
      <c r="B118" s="51" t="n">
        <v>41518</v>
      </c>
      <c r="C118" s="20" t="inlineStr">
        <is>
          <t>September</t>
        </is>
      </c>
      <c r="D118" s="9" t="n">
        <v>4133.106</v>
      </c>
      <c r="E118" s="9" t="n">
        <v>1002.745</v>
      </c>
      <c r="F118" s="9" t="n">
        <v>1930.563703</v>
      </c>
      <c r="G118" s="9" t="n">
        <v>0.199</v>
      </c>
      <c r="H118" s="9" t="n">
        <v>2869.28</v>
      </c>
      <c r="I118" s="9" t="n">
        <v>1677.051</v>
      </c>
      <c r="J118" s="9" t="n">
        <v>202.010105</v>
      </c>
    </row>
    <row r="119">
      <c r="A119" s="20" t="inlineStr">
        <is>
          <t>2013/14</t>
        </is>
      </c>
      <c r="B119" s="51" t="n">
        <v>41548</v>
      </c>
      <c r="C119" s="20" t="inlineStr">
        <is>
          <t>October</t>
        </is>
      </c>
      <c r="D119" s="9" t="n">
        <v>2386.132</v>
      </c>
      <c r="E119" s="9" t="n">
        <v>866.016</v>
      </c>
      <c r="F119" s="9" t="n">
        <v>1713.530236</v>
      </c>
      <c r="G119" s="9" t="n">
        <v>0</v>
      </c>
      <c r="H119" s="9" t="n">
        <v>2806.298</v>
      </c>
      <c r="I119" s="9" t="n">
        <v>1864.552</v>
      </c>
      <c r="J119" s="9" t="n">
        <v>137.83263</v>
      </c>
    </row>
    <row r="120">
      <c r="A120" s="20" t="inlineStr">
        <is>
          <t>2013/14</t>
        </is>
      </c>
      <c r="B120" s="51" t="n">
        <v>41579</v>
      </c>
      <c r="C120" s="20" t="inlineStr">
        <is>
          <t>November</t>
        </is>
      </c>
      <c r="D120" s="9" t="n">
        <v>1744.418</v>
      </c>
      <c r="E120" s="9" t="n">
        <v>565.378</v>
      </c>
      <c r="F120" s="9" t="n">
        <v>793.02634</v>
      </c>
      <c r="G120" s="9" t="n">
        <v>0</v>
      </c>
      <c r="H120" s="9" t="n">
        <v>2442.263</v>
      </c>
      <c r="I120" s="9" t="n">
        <v>1986.579</v>
      </c>
      <c r="J120" s="9" t="n">
        <v>111.122304</v>
      </c>
    </row>
    <row r="121">
      <c r="A121" s="20" t="inlineStr">
        <is>
          <t>2013/14</t>
        </is>
      </c>
      <c r="B121" s="51" t="n">
        <v>41609</v>
      </c>
      <c r="C121" s="20" t="inlineStr">
        <is>
          <t>December</t>
        </is>
      </c>
      <c r="D121" s="9" t="n">
        <v>2006.725</v>
      </c>
      <c r="E121" s="9" t="n">
        <v>1872.458</v>
      </c>
      <c r="F121" s="9" t="n">
        <v>792.2603319999999</v>
      </c>
      <c r="G121" s="9" t="n">
        <v>27.24506</v>
      </c>
      <c r="H121" s="9" t="n">
        <v>3054.272</v>
      </c>
      <c r="I121" s="9" t="n">
        <v>1659.846</v>
      </c>
      <c r="J121" s="9" t="n">
        <v>398.728466</v>
      </c>
    </row>
    <row r="122">
      <c r="A122" s="20" t="inlineStr">
        <is>
          <t>2013/14</t>
        </is>
      </c>
      <c r="B122" s="51" t="n">
        <v>41640</v>
      </c>
      <c r="C122" s="20" t="inlineStr">
        <is>
          <t>January</t>
        </is>
      </c>
      <c r="D122" s="9" t="n">
        <v>2196.953</v>
      </c>
      <c r="E122" s="9" t="n">
        <v>2030.983</v>
      </c>
      <c r="F122" s="9" t="n">
        <v>156.56713</v>
      </c>
      <c r="G122" s="9" t="n">
        <v>188.095027</v>
      </c>
      <c r="H122" s="9" t="n">
        <v>3199.305</v>
      </c>
      <c r="I122" s="9" t="n">
        <v>1759.235</v>
      </c>
      <c r="J122" s="9" t="n">
        <v>574.004295</v>
      </c>
    </row>
    <row r="123">
      <c r="A123" s="20" t="inlineStr">
        <is>
          <t>2013/14</t>
        </is>
      </c>
      <c r="B123" s="51" t="n">
        <v>41671</v>
      </c>
      <c r="C123" s="20" t="inlineStr">
        <is>
          <t>February</t>
        </is>
      </c>
      <c r="D123" s="9" t="n">
        <v>1865.287</v>
      </c>
      <c r="E123" s="9" t="n">
        <v>1988.55</v>
      </c>
      <c r="F123" s="9" t="n">
        <v>251.494645</v>
      </c>
      <c r="G123" s="9" t="n">
        <v>448.596763</v>
      </c>
      <c r="H123" s="9" t="n">
        <v>3490.543</v>
      </c>
      <c r="I123" s="9" t="n">
        <v>1611.118</v>
      </c>
      <c r="J123" s="9" t="n">
        <v>409.04143</v>
      </c>
    </row>
    <row r="124">
      <c r="A124" s="20" t="inlineStr">
        <is>
          <t>2013/14</t>
        </is>
      </c>
      <c r="B124" s="51" t="n">
        <v>41699</v>
      </c>
      <c r="C124" s="20" t="inlineStr">
        <is>
          <t>March</t>
        </is>
      </c>
      <c r="D124" s="9" t="n">
        <v>2118.898</v>
      </c>
      <c r="E124" s="9" t="n">
        <v>2420.565</v>
      </c>
      <c r="F124" s="9" t="n">
        <v>291.843815</v>
      </c>
      <c r="G124" s="9" t="n">
        <v>314.180792</v>
      </c>
      <c r="H124" s="9" t="n">
        <v>2896.569</v>
      </c>
      <c r="I124" s="9" t="n">
        <v>1691.848</v>
      </c>
      <c r="J124" s="9" t="n">
        <v>310.190415</v>
      </c>
    </row>
    <row r="125">
      <c r="A125" s="20" t="inlineStr">
        <is>
          <t>2013/14</t>
        </is>
      </c>
      <c r="B125" s="51" t="n">
        <v>41730</v>
      </c>
      <c r="C125" s="20" t="inlineStr">
        <is>
          <t>April</t>
        </is>
      </c>
      <c r="D125" s="9" t="n">
        <v>2802.076</v>
      </c>
      <c r="E125" s="9" t="n">
        <v>1635.089</v>
      </c>
      <c r="F125" s="9" t="n">
        <v>227.86556</v>
      </c>
      <c r="G125" s="9" t="n">
        <v>592.524872</v>
      </c>
      <c r="H125" s="9" t="n">
        <v>2716.91</v>
      </c>
      <c r="I125" s="9" t="n">
        <v>1844.247</v>
      </c>
      <c r="J125" s="9" t="n">
        <v>531.236675</v>
      </c>
    </row>
    <row r="126">
      <c r="A126" s="20" t="inlineStr">
        <is>
          <t>2013/14</t>
        </is>
      </c>
      <c r="B126" s="51" t="n">
        <v>41760</v>
      </c>
      <c r="C126" s="20" t="inlineStr">
        <is>
          <t>May</t>
        </is>
      </c>
      <c r="D126" s="9" t="n">
        <v>2608.633</v>
      </c>
      <c r="E126" s="9" t="n">
        <v>2075.18</v>
      </c>
      <c r="F126" s="9" t="n">
        <v>107.92046</v>
      </c>
      <c r="G126" s="9" t="n">
        <v>679.202162</v>
      </c>
      <c r="H126" s="9" t="n">
        <v>1879.393</v>
      </c>
      <c r="I126" s="9" t="n">
        <v>2712.965</v>
      </c>
      <c r="J126" s="9" t="n">
        <v>851.54814</v>
      </c>
    </row>
    <row r="127">
      <c r="A127" s="20" t="inlineStr">
        <is>
          <t>2013/14</t>
        </is>
      </c>
      <c r="B127" s="51" t="n">
        <v>41791</v>
      </c>
      <c r="C127" s="20" t="inlineStr">
        <is>
          <t>June</t>
        </is>
      </c>
      <c r="D127" s="9" t="n">
        <v>2120.351</v>
      </c>
      <c r="E127" s="9" t="n">
        <v>1324.779</v>
      </c>
      <c r="F127" s="9" t="n">
        <v>147.57038</v>
      </c>
      <c r="G127" s="9" t="n">
        <v>374.13977</v>
      </c>
      <c r="H127" s="9" t="n">
        <v>1842.77</v>
      </c>
      <c r="I127" s="9" t="n">
        <v>2010.163</v>
      </c>
      <c r="J127" s="9" t="n">
        <v>504.684218</v>
      </c>
    </row>
    <row r="128">
      <c r="A128" s="20" t="inlineStr">
        <is>
          <t>2014/15</t>
        </is>
      </c>
      <c r="B128" s="51" t="n">
        <v>41821</v>
      </c>
      <c r="C128" s="20" t="inlineStr">
        <is>
          <t>July</t>
        </is>
      </c>
      <c r="D128" s="9" t="n">
        <v>1994.734</v>
      </c>
      <c r="E128" s="9" t="n">
        <v>1503.121</v>
      </c>
      <c r="F128" s="9" t="n">
        <v>147.4061</v>
      </c>
      <c r="G128" s="9" t="n">
        <v>622.847851</v>
      </c>
      <c r="H128" s="9" t="n">
        <v>1581.136</v>
      </c>
      <c r="I128" s="9" t="n">
        <v>2498.681</v>
      </c>
      <c r="J128" s="9" t="n">
        <v>316.365833</v>
      </c>
    </row>
    <row r="129">
      <c r="A129" s="20" t="inlineStr">
        <is>
          <t>2014/15</t>
        </is>
      </c>
      <c r="B129" s="51" t="n">
        <v>41852</v>
      </c>
      <c r="C129" s="20" t="inlineStr">
        <is>
          <t>August</t>
        </is>
      </c>
      <c r="D129" s="9" t="n">
        <v>2586.58</v>
      </c>
      <c r="E129" s="9" t="n">
        <v>1226.064</v>
      </c>
      <c r="F129" s="9" t="n">
        <v>24.01239</v>
      </c>
      <c r="G129" s="9" t="n">
        <v>1703.599978</v>
      </c>
      <c r="H129" s="9" t="n">
        <v>2865.963</v>
      </c>
      <c r="I129" s="9" t="n">
        <v>2711.997</v>
      </c>
      <c r="J129" s="9" t="n">
        <v>168.914778</v>
      </c>
    </row>
    <row r="130">
      <c r="A130" s="20" t="inlineStr">
        <is>
          <t>2014/15</t>
        </is>
      </c>
      <c r="B130" s="51" t="n">
        <v>41883</v>
      </c>
      <c r="C130" s="20" t="inlineStr">
        <is>
          <t>September</t>
        </is>
      </c>
      <c r="D130" s="9" t="n">
        <v>2660.389</v>
      </c>
      <c r="E130" s="9" t="n">
        <v>1071.788</v>
      </c>
      <c r="F130" s="9" t="n">
        <v>122.980275</v>
      </c>
      <c r="G130" s="9" t="n">
        <v>2181.397247</v>
      </c>
      <c r="H130" s="9" t="n">
        <v>2881.011</v>
      </c>
      <c r="I130" s="9" t="n">
        <v>1910.112</v>
      </c>
      <c r="J130" s="9" t="n">
        <v>98.44440400000001</v>
      </c>
    </row>
    <row r="131">
      <c r="A131" s="20" t="inlineStr">
        <is>
          <t>2014/15</t>
        </is>
      </c>
      <c r="B131" s="51" t="n">
        <v>41913</v>
      </c>
      <c r="C131" s="20" t="inlineStr">
        <is>
          <t>October</t>
        </is>
      </c>
      <c r="D131" s="9" t="n">
        <v>1585.423</v>
      </c>
      <c r="E131" s="9" t="n">
        <v>836.356</v>
      </c>
      <c r="F131" s="9" t="n">
        <v>38.5698</v>
      </c>
      <c r="G131" s="9" t="n">
        <v>1655.336038</v>
      </c>
      <c r="H131" s="9" t="n">
        <v>3475.152</v>
      </c>
      <c r="I131" s="9" t="n">
        <v>1982.396</v>
      </c>
      <c r="J131" s="9" t="n">
        <v>107.263627</v>
      </c>
    </row>
    <row r="132">
      <c r="A132" s="20" t="inlineStr">
        <is>
          <t>2014/15</t>
        </is>
      </c>
      <c r="B132" s="51" t="n">
        <v>41944</v>
      </c>
      <c r="C132" s="20" t="inlineStr">
        <is>
          <t>November</t>
        </is>
      </c>
      <c r="D132" s="9" t="n">
        <v>1243.446</v>
      </c>
      <c r="E132" s="9" t="n">
        <v>891.689</v>
      </c>
      <c r="F132" s="9" t="n">
        <v>38.48305</v>
      </c>
      <c r="G132" s="9" t="n">
        <v>1017.396341</v>
      </c>
      <c r="H132" s="9" t="n">
        <v>2428.268</v>
      </c>
      <c r="I132" s="9" t="n">
        <v>1986.607</v>
      </c>
      <c r="J132" s="9" t="n">
        <v>62.07941</v>
      </c>
    </row>
    <row r="133">
      <c r="A133" s="20" t="inlineStr">
        <is>
          <t>2014/15</t>
        </is>
      </c>
      <c r="B133" s="51" t="n">
        <v>41974</v>
      </c>
      <c r="C133" s="20" t="inlineStr">
        <is>
          <t>December</t>
        </is>
      </c>
      <c r="D133" s="9" t="n">
        <v>1632.019</v>
      </c>
      <c r="E133" s="9" t="n">
        <v>1244.521</v>
      </c>
      <c r="F133" s="9" t="n">
        <v>295.97112</v>
      </c>
      <c r="G133" s="9" t="n">
        <v>765.8763760000001</v>
      </c>
      <c r="H133" s="9" t="n">
        <v>2395.117</v>
      </c>
      <c r="I133" s="9" t="n">
        <v>1469.995</v>
      </c>
      <c r="J133" s="9" t="n">
        <v>111.292026</v>
      </c>
    </row>
    <row r="134">
      <c r="A134" s="20" t="inlineStr">
        <is>
          <t>2014/15</t>
        </is>
      </c>
      <c r="B134" s="51" t="n">
        <v>42005</v>
      </c>
      <c r="C134" s="20" t="inlineStr">
        <is>
          <t>January</t>
        </is>
      </c>
      <c r="D134" s="9" t="n">
        <v>1400.808</v>
      </c>
      <c r="E134" s="9" t="n">
        <v>1094.499</v>
      </c>
      <c r="F134" s="9" t="n">
        <v>502.785065</v>
      </c>
      <c r="G134" s="9" t="n">
        <v>551.418694</v>
      </c>
      <c r="H134" s="9" t="n">
        <v>2517.809</v>
      </c>
      <c r="I134" s="9" t="n">
        <v>1956.552</v>
      </c>
      <c r="J134" s="9" t="n">
        <v>99.42676299999999</v>
      </c>
    </row>
    <row r="135">
      <c r="A135" s="20" t="inlineStr">
        <is>
          <t>2014/15</t>
        </is>
      </c>
      <c r="B135" s="51" t="n">
        <v>42036</v>
      </c>
      <c r="C135" s="20" t="inlineStr">
        <is>
          <t>February</t>
        </is>
      </c>
      <c r="D135" s="9" t="n">
        <v>1860.428</v>
      </c>
      <c r="E135" s="9" t="n">
        <v>1902.318</v>
      </c>
      <c r="F135" s="9" t="n">
        <v>569.38151</v>
      </c>
      <c r="G135" s="9" t="n">
        <v>650.21984</v>
      </c>
      <c r="H135" s="9" t="n">
        <v>3655.987</v>
      </c>
      <c r="I135" s="9" t="n">
        <v>1559.444</v>
      </c>
      <c r="J135" s="9" t="n">
        <v>50.412084</v>
      </c>
    </row>
    <row r="136">
      <c r="A136" s="20" t="inlineStr">
        <is>
          <t>2014/15</t>
        </is>
      </c>
      <c r="B136" s="51" t="n">
        <v>42064</v>
      </c>
      <c r="C136" s="20" t="inlineStr">
        <is>
          <t>March</t>
        </is>
      </c>
      <c r="D136" s="9" t="n">
        <v>2029.277</v>
      </c>
      <c r="E136" s="9" t="n">
        <v>1678.702</v>
      </c>
      <c r="F136" s="9" t="n">
        <v>463.984325</v>
      </c>
      <c r="G136" s="9" t="n">
        <v>494.462006</v>
      </c>
      <c r="H136" s="9" t="n">
        <v>4104.309</v>
      </c>
      <c r="I136" s="9" t="n">
        <v>2145.456</v>
      </c>
      <c r="J136" s="9" t="n">
        <v>22.330735</v>
      </c>
    </row>
    <row r="137">
      <c r="A137" s="20" t="inlineStr">
        <is>
          <t>2014/15</t>
        </is>
      </c>
      <c r="B137" s="51" t="n">
        <v>42095</v>
      </c>
      <c r="C137" s="20" t="inlineStr">
        <is>
          <t>April</t>
        </is>
      </c>
      <c r="D137" s="9" t="n">
        <v>2015.263</v>
      </c>
      <c r="E137" s="9" t="n">
        <v>1871.737</v>
      </c>
      <c r="F137" s="9" t="n">
        <v>484.84031</v>
      </c>
      <c r="G137" s="9" t="n">
        <v>483.855641</v>
      </c>
      <c r="H137" s="9" t="n">
        <v>3733.385</v>
      </c>
      <c r="I137" s="9" t="n">
        <v>1391.285</v>
      </c>
      <c r="J137" s="9" t="n">
        <v>96.93070899999999</v>
      </c>
    </row>
    <row r="138">
      <c r="A138" s="20" t="inlineStr">
        <is>
          <t>2014/15</t>
        </is>
      </c>
      <c r="B138" s="51" t="n">
        <v>42125</v>
      </c>
      <c r="C138" s="20" t="inlineStr">
        <is>
          <t>May</t>
        </is>
      </c>
      <c r="D138" s="9" t="n">
        <v>1755.348</v>
      </c>
      <c r="E138" s="9" t="n">
        <v>1909.146</v>
      </c>
      <c r="F138" s="9" t="n">
        <v>326.17374</v>
      </c>
      <c r="G138" s="9" t="n">
        <v>396.487014</v>
      </c>
      <c r="H138" s="9" t="n">
        <v>2179.553</v>
      </c>
      <c r="I138" s="9" t="n">
        <v>2502.386</v>
      </c>
      <c r="J138" s="9" t="n">
        <v>103.246075</v>
      </c>
    </row>
    <row r="139">
      <c r="A139" s="20" t="inlineStr">
        <is>
          <t>2014/15</t>
        </is>
      </c>
      <c r="B139" s="51" t="n">
        <v>42156</v>
      </c>
      <c r="C139" s="20" t="inlineStr">
        <is>
          <t>June</t>
        </is>
      </c>
      <c r="D139" s="9" t="n">
        <v>1620.1</v>
      </c>
      <c r="E139" s="9" t="n">
        <v>1296.655</v>
      </c>
      <c r="F139" s="9" t="n">
        <v>426.56978</v>
      </c>
      <c r="G139" s="9" t="n">
        <v>359.793347</v>
      </c>
      <c r="H139" s="9" t="n">
        <v>1969.831</v>
      </c>
      <c r="I139" s="9" t="n">
        <v>2272.784</v>
      </c>
      <c r="J139" s="9" t="n">
        <v>88.04514500000001</v>
      </c>
    </row>
    <row r="140">
      <c r="A140" s="20" t="inlineStr">
        <is>
          <t>2015/16</t>
        </is>
      </c>
      <c r="B140" s="51" t="n">
        <v>42186</v>
      </c>
      <c r="C140" s="20" t="inlineStr">
        <is>
          <t>July</t>
        </is>
      </c>
      <c r="D140" s="9" t="n">
        <v>1638.504</v>
      </c>
      <c r="E140" s="9" t="n">
        <v>1468.554</v>
      </c>
      <c r="F140" s="9" t="n">
        <v>279.505175</v>
      </c>
      <c r="G140" s="9" t="n">
        <v>769.825378</v>
      </c>
      <c r="H140" s="9" t="n">
        <v>2027.839</v>
      </c>
      <c r="I140" s="9" t="n">
        <v>1792.6</v>
      </c>
      <c r="J140" s="9" t="n">
        <v>93.43334900000001</v>
      </c>
    </row>
    <row r="141">
      <c r="A141" s="20" t="inlineStr">
        <is>
          <t>2015/16</t>
        </is>
      </c>
      <c r="B141" s="51" t="n">
        <v>42217</v>
      </c>
      <c r="C141" s="20" t="inlineStr">
        <is>
          <t>August</t>
        </is>
      </c>
      <c r="D141" s="9" t="n">
        <v>2160.551</v>
      </c>
      <c r="E141" s="9" t="n">
        <v>1183.264</v>
      </c>
      <c r="F141" s="9" t="n">
        <v>375.761016</v>
      </c>
      <c r="G141" s="9" t="n">
        <v>1892.397393</v>
      </c>
      <c r="H141" s="9" t="n">
        <v>1829.831</v>
      </c>
      <c r="I141" s="9" t="n">
        <v>2151.627</v>
      </c>
      <c r="J141" s="9" t="n">
        <v>72.05072199999999</v>
      </c>
    </row>
    <row r="142">
      <c r="A142" s="20" t="inlineStr">
        <is>
          <t>2015/16</t>
        </is>
      </c>
      <c r="B142" s="51" t="n">
        <v>42248</v>
      </c>
      <c r="C142" s="20" t="inlineStr">
        <is>
          <t>September</t>
        </is>
      </c>
      <c r="D142" s="9" t="n">
        <v>2456.487</v>
      </c>
      <c r="E142" s="9" t="n">
        <v>1163.566</v>
      </c>
      <c r="F142" s="9" t="n">
        <v>369.41749</v>
      </c>
      <c r="G142" s="9" t="n">
        <v>2813.586585</v>
      </c>
      <c r="H142" s="9" t="n">
        <v>2115.677</v>
      </c>
      <c r="I142" s="9" t="n">
        <v>1664.075</v>
      </c>
      <c r="J142" s="9" t="n">
        <v>88.501741</v>
      </c>
    </row>
    <row r="143">
      <c r="A143" s="20" t="inlineStr">
        <is>
          <t>2015/16</t>
        </is>
      </c>
      <c r="B143" s="51" t="n">
        <v>42278</v>
      </c>
      <c r="C143" s="20" t="inlineStr">
        <is>
          <t>October</t>
        </is>
      </c>
      <c r="D143" s="9" t="n">
        <v>1220.6</v>
      </c>
      <c r="E143" s="9" t="n">
        <v>1075.284</v>
      </c>
      <c r="F143" s="9" t="n">
        <v>293.30812</v>
      </c>
      <c r="G143" s="9" t="n">
        <v>2065.999353</v>
      </c>
      <c r="H143" s="9" t="n">
        <v>1915.393</v>
      </c>
      <c r="I143" s="9" t="n">
        <v>1716.04</v>
      </c>
      <c r="J143" s="9" t="n">
        <v>19.948919</v>
      </c>
    </row>
    <row r="144">
      <c r="A144" s="20" t="inlineStr">
        <is>
          <t>2015/16</t>
        </is>
      </c>
      <c r="B144" s="51" t="n">
        <v>42309</v>
      </c>
      <c r="C144" s="20" t="inlineStr">
        <is>
          <t>November</t>
        </is>
      </c>
      <c r="D144" s="9" t="n">
        <v>1386.767</v>
      </c>
      <c r="E144" s="9" t="n">
        <v>718.877</v>
      </c>
      <c r="F144" s="9" t="n">
        <v>171.78908</v>
      </c>
      <c r="G144" s="9" t="n">
        <v>1377.836399</v>
      </c>
      <c r="H144" s="9" t="n">
        <v>2193.757</v>
      </c>
      <c r="I144" s="9" t="n">
        <v>2342.18</v>
      </c>
      <c r="J144" s="9" t="n">
        <v>18.530394</v>
      </c>
    </row>
    <row r="145">
      <c r="A145" s="20" t="inlineStr">
        <is>
          <t>2015/16</t>
        </is>
      </c>
      <c r="B145" s="51" t="n">
        <v>42339</v>
      </c>
      <c r="C145" s="20" t="inlineStr">
        <is>
          <t>December</t>
        </is>
      </c>
      <c r="D145" s="9" t="n">
        <v>1714.148</v>
      </c>
      <c r="E145" s="9" t="n">
        <v>1673.514</v>
      </c>
      <c r="F145" s="9" t="n">
        <v>53.49622</v>
      </c>
      <c r="G145" s="9" t="n">
        <v>1594.082723</v>
      </c>
      <c r="H145" s="9" t="n">
        <v>3538.901</v>
      </c>
      <c r="I145" s="9" t="n">
        <v>2060.915</v>
      </c>
      <c r="J145" s="9" t="n">
        <v>27.087106</v>
      </c>
    </row>
    <row r="146">
      <c r="A146" s="20" t="inlineStr">
        <is>
          <t>2015/16</t>
        </is>
      </c>
      <c r="B146" s="51" t="n">
        <v>42370</v>
      </c>
      <c r="C146" s="20" t="inlineStr">
        <is>
          <t>January</t>
        </is>
      </c>
      <c r="D146" s="9" t="n">
        <v>1411.323</v>
      </c>
      <c r="E146" s="9" t="n">
        <v>1509.796</v>
      </c>
      <c r="F146" s="9" t="n">
        <v>940.56796</v>
      </c>
      <c r="G146" s="9" t="n">
        <v>465.885518</v>
      </c>
      <c r="H146" s="9" t="n">
        <v>2749.054</v>
      </c>
      <c r="I146" s="9" t="n">
        <v>1490.876</v>
      </c>
      <c r="J146" s="9" t="n">
        <v>19.780228</v>
      </c>
    </row>
    <row r="147">
      <c r="A147" s="20" t="inlineStr">
        <is>
          <t>2015/16</t>
        </is>
      </c>
      <c r="B147" s="51" t="n">
        <v>42401</v>
      </c>
      <c r="C147" s="20" t="inlineStr">
        <is>
          <t>February</t>
        </is>
      </c>
      <c r="D147" s="9" t="n">
        <v>1475.052</v>
      </c>
      <c r="E147" s="9" t="n">
        <v>1399.721</v>
      </c>
      <c r="F147" s="9" t="n">
        <v>1162.922984</v>
      </c>
      <c r="G147" s="9" t="n">
        <v>854.500366</v>
      </c>
      <c r="H147" s="9" t="n">
        <v>3011.342</v>
      </c>
      <c r="I147" s="9" t="n">
        <v>1678.253</v>
      </c>
      <c r="J147" s="9" t="n">
        <v>15.435759</v>
      </c>
    </row>
    <row r="148">
      <c r="A148" s="20" t="inlineStr">
        <is>
          <t>2015/16</t>
        </is>
      </c>
      <c r="B148" s="51" t="n">
        <v>42430</v>
      </c>
      <c r="C148" s="20" t="inlineStr">
        <is>
          <t>March</t>
        </is>
      </c>
      <c r="D148" s="9" t="n">
        <v>1901.41</v>
      </c>
      <c r="E148" s="9" t="n">
        <v>1486.407</v>
      </c>
      <c r="F148" s="9" t="n">
        <v>1454.027534</v>
      </c>
      <c r="G148" s="9" t="n">
        <v>1071.920192</v>
      </c>
      <c r="H148" s="9" t="n">
        <v>3620.859</v>
      </c>
      <c r="I148" s="9" t="n">
        <v>1564.86</v>
      </c>
      <c r="J148" s="9" t="n">
        <v>21.813387</v>
      </c>
    </row>
    <row r="149">
      <c r="A149" s="20" t="inlineStr">
        <is>
          <t>2015/16</t>
        </is>
      </c>
      <c r="B149" s="51" t="n">
        <v>42461</v>
      </c>
      <c r="C149" s="20" t="inlineStr">
        <is>
          <t>April</t>
        </is>
      </c>
      <c r="D149" s="9" t="n">
        <v>1778.448</v>
      </c>
      <c r="E149" s="9" t="n">
        <v>1504.574</v>
      </c>
      <c r="F149" s="9" t="n">
        <v>1283.04013</v>
      </c>
      <c r="G149" s="9" t="n">
        <v>1317.280014</v>
      </c>
      <c r="H149" s="9" t="n">
        <v>3553.424</v>
      </c>
      <c r="I149" s="9" t="n">
        <v>2174.443</v>
      </c>
      <c r="J149" s="9" t="n">
        <v>52.710436</v>
      </c>
    </row>
    <row r="150">
      <c r="A150" s="20" t="inlineStr">
        <is>
          <t>2015/16</t>
        </is>
      </c>
      <c r="B150" s="51" t="n">
        <v>42491</v>
      </c>
      <c r="C150" s="20" t="inlineStr">
        <is>
          <t>May</t>
        </is>
      </c>
      <c r="D150" s="9" t="n">
        <v>1728.718</v>
      </c>
      <c r="E150" s="9" t="n">
        <v>1489.837</v>
      </c>
      <c r="F150" s="9" t="n">
        <v>907.09362</v>
      </c>
      <c r="G150" s="9" t="n">
        <v>1406.386448</v>
      </c>
      <c r="H150" s="9" t="n">
        <v>3481.139</v>
      </c>
      <c r="I150" s="9" t="n">
        <v>1551.345</v>
      </c>
      <c r="J150" s="9" t="n">
        <v>56.405201</v>
      </c>
    </row>
    <row r="151">
      <c r="A151" s="20" t="inlineStr">
        <is>
          <t>2015/16</t>
        </is>
      </c>
      <c r="B151" s="51" t="n">
        <v>42522</v>
      </c>
      <c r="C151" s="20" t="inlineStr">
        <is>
          <t>June</t>
        </is>
      </c>
      <c r="D151" s="9" t="n">
        <v>2255.357</v>
      </c>
      <c r="E151" s="9" t="n">
        <v>1068.883</v>
      </c>
      <c r="F151" s="9" t="n">
        <v>669.13553</v>
      </c>
      <c r="G151" s="9" t="n">
        <v>1296.923976</v>
      </c>
      <c r="H151" s="9" t="n">
        <v>2911.264</v>
      </c>
      <c r="I151" s="9" t="n">
        <v>1486.217</v>
      </c>
      <c r="J151" s="9" t="n">
        <v>40.2952</v>
      </c>
    </row>
    <row r="152">
      <c r="A152" s="20" t="inlineStr">
        <is>
          <t>2016/17</t>
        </is>
      </c>
      <c r="B152" s="51" t="n">
        <v>42552</v>
      </c>
      <c r="C152" s="20" t="inlineStr">
        <is>
          <t>July</t>
        </is>
      </c>
      <c r="D152" s="9" t="n">
        <v>2044.225</v>
      </c>
      <c r="E152" s="9" t="n">
        <v>1440.119</v>
      </c>
      <c r="F152" s="9" t="n">
        <v>529.329495</v>
      </c>
      <c r="G152" s="9" t="n">
        <v>726.596954</v>
      </c>
      <c r="H152" s="9" t="n">
        <v>2754.99</v>
      </c>
      <c r="I152" s="9" t="n">
        <v>1787.524</v>
      </c>
      <c r="J152" s="9" t="n">
        <v>22.252498</v>
      </c>
    </row>
    <row r="153">
      <c r="A153" s="20" t="inlineStr">
        <is>
          <t>2016/17</t>
        </is>
      </c>
      <c r="B153" s="51" t="n">
        <v>42583</v>
      </c>
      <c r="C153" s="20" t="inlineStr">
        <is>
          <t>August</t>
        </is>
      </c>
      <c r="D153" s="9" t="n">
        <v>2805.24</v>
      </c>
      <c r="E153" s="9" t="n">
        <v>1433.586</v>
      </c>
      <c r="F153" s="9" t="n">
        <v>459.66716</v>
      </c>
      <c r="G153" s="9" t="n">
        <v>3045.977651</v>
      </c>
      <c r="H153" s="9" t="n">
        <v>2581.512</v>
      </c>
      <c r="I153" s="9" t="n">
        <v>1576.742</v>
      </c>
      <c r="J153" s="9" t="n">
        <v>31.462509</v>
      </c>
    </row>
    <row r="154">
      <c r="A154" s="20" t="inlineStr">
        <is>
          <t>2016/17</t>
        </is>
      </c>
      <c r="B154" s="51" t="n">
        <v>42614</v>
      </c>
      <c r="C154" s="20" t="inlineStr">
        <is>
          <t>September</t>
        </is>
      </c>
      <c r="D154" s="9" t="n">
        <v>2816.296</v>
      </c>
      <c r="E154" s="9" t="n">
        <v>1282.133</v>
      </c>
      <c r="F154" s="9" t="n">
        <v>263.11822</v>
      </c>
      <c r="G154" s="9" t="n">
        <v>2863.567088</v>
      </c>
      <c r="H154" s="9" t="n">
        <v>2285.101</v>
      </c>
      <c r="I154" s="9" t="n">
        <v>1337.934</v>
      </c>
      <c r="J154" s="9" t="n">
        <v>4.88303</v>
      </c>
    </row>
    <row r="155">
      <c r="A155" s="20" t="inlineStr">
        <is>
          <t>2016/17</t>
        </is>
      </c>
      <c r="B155" s="51" t="n">
        <v>42644</v>
      </c>
      <c r="C155" s="20" t="inlineStr">
        <is>
          <t>October</t>
        </is>
      </c>
      <c r="D155" s="9" t="n">
        <v>1719.1</v>
      </c>
      <c r="E155" s="9" t="n">
        <v>968.694</v>
      </c>
      <c r="F155" s="9" t="n">
        <v>416.95828</v>
      </c>
      <c r="G155" s="9" t="n">
        <v>2057.904884</v>
      </c>
      <c r="H155" s="9" t="n">
        <v>1726.175</v>
      </c>
      <c r="I155" s="9" t="n">
        <v>1861.773</v>
      </c>
      <c r="J155" s="9" t="n">
        <v>3.812145</v>
      </c>
    </row>
    <row r="156">
      <c r="A156" s="20" t="inlineStr">
        <is>
          <t>2016/17</t>
        </is>
      </c>
      <c r="B156" s="51" t="n">
        <v>42675</v>
      </c>
      <c r="C156" s="20" t="inlineStr">
        <is>
          <t>November</t>
        </is>
      </c>
      <c r="D156" s="9" t="n">
        <v>1775.802</v>
      </c>
      <c r="E156" s="9" t="n">
        <v>891.579</v>
      </c>
      <c r="F156" s="9" t="n">
        <v>573.044072</v>
      </c>
      <c r="G156" s="9" t="n">
        <v>1402.078507</v>
      </c>
      <c r="H156" s="9" t="n">
        <v>2011.521</v>
      </c>
      <c r="I156" s="9" t="n">
        <v>1618.46</v>
      </c>
      <c r="J156" s="9" t="n">
        <v>6.61958</v>
      </c>
    </row>
    <row r="157">
      <c r="A157" s="20" t="inlineStr">
        <is>
          <t>2016/17</t>
        </is>
      </c>
      <c r="B157" s="51" t="n">
        <v>42705</v>
      </c>
      <c r="C157" s="20" t="inlineStr">
        <is>
          <t>December</t>
        </is>
      </c>
      <c r="D157" s="9" t="n">
        <v>2174.476</v>
      </c>
      <c r="E157" s="9" t="n">
        <v>1634.859</v>
      </c>
      <c r="F157" s="9" t="n">
        <v>1606.994344</v>
      </c>
      <c r="G157" s="9" t="n">
        <v>1409.303526</v>
      </c>
      <c r="H157" s="9" t="n">
        <v>2460.716</v>
      </c>
      <c r="I157" s="9" t="n">
        <v>1512.844</v>
      </c>
      <c r="J157" s="9" t="n">
        <v>8.608857</v>
      </c>
    </row>
    <row r="158">
      <c r="A158" s="20" t="inlineStr">
        <is>
          <t>2016/17</t>
        </is>
      </c>
      <c r="B158" s="51" t="n">
        <v>42736</v>
      </c>
      <c r="C158" s="20" t="inlineStr">
        <is>
          <t>January</t>
        </is>
      </c>
      <c r="D158" s="9" t="n">
        <v>1640.844</v>
      </c>
      <c r="E158" s="9" t="n">
        <v>2544.332</v>
      </c>
      <c r="F158" s="9" t="n">
        <v>2349.406906</v>
      </c>
      <c r="G158" s="9" t="n">
        <v>1212.56263</v>
      </c>
      <c r="H158" s="9" t="n">
        <v>2121.551</v>
      </c>
      <c r="I158" s="9" t="n">
        <v>1388.69</v>
      </c>
      <c r="J158" s="9" t="n">
        <v>12.153204</v>
      </c>
    </row>
    <row r="159">
      <c r="A159" s="20" t="inlineStr">
        <is>
          <t>2016/17</t>
        </is>
      </c>
      <c r="B159" s="51" t="n">
        <v>42767</v>
      </c>
      <c r="C159" s="20" t="inlineStr">
        <is>
          <t>February</t>
        </is>
      </c>
      <c r="D159" s="9" t="n">
        <v>2238.7</v>
      </c>
      <c r="E159" s="9" t="n">
        <v>2354.374</v>
      </c>
      <c r="F159" s="9" t="n">
        <v>1991.180775</v>
      </c>
      <c r="G159" s="9" t="n">
        <v>839.974239</v>
      </c>
      <c r="H159" s="9" t="n">
        <v>1751.597</v>
      </c>
      <c r="I159" s="9" t="n">
        <v>1393.034</v>
      </c>
      <c r="J159" s="9" t="n">
        <v>15.883395</v>
      </c>
    </row>
    <row r="160">
      <c r="A160" s="20" t="inlineStr">
        <is>
          <t>2016/17</t>
        </is>
      </c>
      <c r="B160" s="51" t="n">
        <v>42795</v>
      </c>
      <c r="C160" s="20" t="inlineStr">
        <is>
          <t>March</t>
        </is>
      </c>
      <c r="D160" s="9" t="n">
        <v>2664.738</v>
      </c>
      <c r="E160" s="9" t="n">
        <v>2424.114</v>
      </c>
      <c r="F160" s="9" t="n">
        <v>1248.24958</v>
      </c>
      <c r="G160" s="9" t="n">
        <v>1052.295369</v>
      </c>
      <c r="H160" s="9" t="n">
        <v>2602.866</v>
      </c>
      <c r="I160" s="9" t="n">
        <v>1540.109</v>
      </c>
      <c r="J160" s="9" t="n">
        <v>10.419576</v>
      </c>
    </row>
    <row r="161">
      <c r="A161" s="20" t="inlineStr">
        <is>
          <t>2016/17</t>
        </is>
      </c>
      <c r="B161" s="51" t="n">
        <v>42826</v>
      </c>
      <c r="C161" s="20" t="inlineStr">
        <is>
          <t>April</t>
        </is>
      </c>
      <c r="D161" s="9" t="n">
        <v>2677.636</v>
      </c>
      <c r="E161" s="9" t="n">
        <v>2202.936</v>
      </c>
      <c r="F161" s="9" t="n">
        <v>761.446535</v>
      </c>
      <c r="G161" s="9" t="n">
        <v>1198.352341</v>
      </c>
      <c r="H161" s="9" t="n">
        <v>2308.684</v>
      </c>
      <c r="I161" s="9" t="n">
        <v>1792.215</v>
      </c>
      <c r="J161" s="9" t="n">
        <v>39.403428</v>
      </c>
    </row>
    <row r="162">
      <c r="A162" s="20" t="inlineStr">
        <is>
          <t>2016/17</t>
        </is>
      </c>
      <c r="B162" s="51" t="n">
        <v>42856</v>
      </c>
      <c r="C162" s="20" t="inlineStr">
        <is>
          <t>May</t>
        </is>
      </c>
      <c r="D162" s="9" t="n">
        <v>3055.806</v>
      </c>
      <c r="E162" s="9" t="n">
        <v>2575.664</v>
      </c>
      <c r="F162" s="9" t="n">
        <v>501.011075</v>
      </c>
      <c r="G162" s="9" t="n">
        <v>984.995728</v>
      </c>
      <c r="H162" s="9" t="n">
        <v>1748.106</v>
      </c>
      <c r="I162" s="9" t="n">
        <v>2180.665</v>
      </c>
      <c r="J162" s="9" t="n">
        <v>39.25303</v>
      </c>
    </row>
    <row r="163">
      <c r="A163" s="20" t="inlineStr">
        <is>
          <t>2016/17</t>
        </is>
      </c>
      <c r="B163" s="51" t="n">
        <v>42887</v>
      </c>
      <c r="C163" s="20" t="inlineStr">
        <is>
          <t>June</t>
        </is>
      </c>
      <c r="D163" s="9" t="n">
        <v>2981.58</v>
      </c>
      <c r="E163" s="9" t="n">
        <v>2272.168</v>
      </c>
      <c r="F163" s="9" t="n">
        <v>599.842815</v>
      </c>
      <c r="G163" s="9" t="n">
        <v>734.364313</v>
      </c>
      <c r="H163" s="9" t="n">
        <v>1312.416</v>
      </c>
      <c r="I163" s="9" t="n">
        <v>1892.743</v>
      </c>
      <c r="J163" s="9" t="n">
        <v>9.692045999999999</v>
      </c>
    </row>
    <row r="164">
      <c r="A164" s="20" t="inlineStr">
        <is>
          <t>2017/18</t>
        </is>
      </c>
      <c r="B164" s="51" t="n">
        <v>42917</v>
      </c>
      <c r="C164" s="20" t="inlineStr">
        <is>
          <t>July</t>
        </is>
      </c>
      <c r="D164" s="9" t="n">
        <v>2375.01</v>
      </c>
      <c r="E164" s="9" t="n">
        <v>1843.627</v>
      </c>
      <c r="F164" s="9" t="n">
        <v>689.706495</v>
      </c>
      <c r="G164" s="9" t="n">
        <v>810.063928</v>
      </c>
      <c r="H164" s="9" t="n">
        <v>1609.444</v>
      </c>
      <c r="I164" s="9" t="n">
        <v>1694.087</v>
      </c>
      <c r="J164" s="9" t="n">
        <v>19.267755</v>
      </c>
    </row>
    <row r="165">
      <c r="A165" s="20" t="inlineStr">
        <is>
          <t>2017/18</t>
        </is>
      </c>
      <c r="B165" s="51" t="n">
        <v>42948</v>
      </c>
      <c r="C165" s="20" t="inlineStr">
        <is>
          <t>August</t>
        </is>
      </c>
      <c r="D165" s="9" t="n">
        <v>2425.844</v>
      </c>
      <c r="E165" s="9" t="n">
        <v>1571.011</v>
      </c>
      <c r="F165" s="9" t="n">
        <v>749.536365</v>
      </c>
      <c r="G165" s="9" t="n">
        <v>2478.224069</v>
      </c>
      <c r="H165" s="9" t="n">
        <v>2447.871</v>
      </c>
      <c r="I165" s="9" t="n">
        <v>2058.838</v>
      </c>
      <c r="J165" s="9" t="n">
        <v>24.47207</v>
      </c>
    </row>
    <row r="166">
      <c r="A166" s="20" t="inlineStr">
        <is>
          <t>2017/18</t>
        </is>
      </c>
      <c r="B166" s="51" t="n">
        <v>42979</v>
      </c>
      <c r="C166" s="20" t="inlineStr">
        <is>
          <t>September</t>
        </is>
      </c>
      <c r="D166" s="9" t="n">
        <v>2348.092</v>
      </c>
      <c r="E166" s="9" t="n">
        <v>1318.89</v>
      </c>
      <c r="F166" s="9" t="n">
        <v>620.829235</v>
      </c>
      <c r="G166" s="9" t="n">
        <v>2642.234615</v>
      </c>
      <c r="H166" s="9" t="n">
        <v>2065.547</v>
      </c>
      <c r="I166" s="9" t="n">
        <v>1543.597</v>
      </c>
      <c r="J166" s="9" t="n">
        <v>20.194496</v>
      </c>
    </row>
    <row r="167">
      <c r="A167" s="20" t="inlineStr">
        <is>
          <t>2017/18</t>
        </is>
      </c>
      <c r="B167" s="51" t="n">
        <v>43009</v>
      </c>
      <c r="C167" s="20" t="inlineStr">
        <is>
          <t>October</t>
        </is>
      </c>
      <c r="D167" s="9" t="n">
        <v>1309.448</v>
      </c>
      <c r="E167" s="9" t="n">
        <v>854.593</v>
      </c>
      <c r="F167" s="9" t="n">
        <v>767.86617</v>
      </c>
      <c r="G167" s="9" t="n">
        <v>2261.777167</v>
      </c>
      <c r="H167" s="9" t="n">
        <v>1247.293</v>
      </c>
      <c r="I167" s="9" t="n">
        <v>1745.169</v>
      </c>
      <c r="J167" s="9" t="n">
        <v>29.00235</v>
      </c>
    </row>
    <row r="168">
      <c r="A168" s="20" t="inlineStr">
        <is>
          <t>2017/18</t>
        </is>
      </c>
      <c r="B168" s="51" t="n">
        <v>43040</v>
      </c>
      <c r="C168" s="20" t="inlineStr">
        <is>
          <t>November</t>
        </is>
      </c>
      <c r="D168" s="9" t="n">
        <v>1473.17</v>
      </c>
      <c r="E168" s="9" t="n">
        <v>611.211</v>
      </c>
      <c r="F168" s="9" t="n">
        <v>929.47409</v>
      </c>
      <c r="G168" s="9" t="n">
        <v>1832.024713</v>
      </c>
      <c r="H168" s="9" t="n">
        <v>2258.145</v>
      </c>
      <c r="I168" s="9" t="n">
        <v>1839.095</v>
      </c>
      <c r="J168" s="9" t="n">
        <v>42.568435</v>
      </c>
    </row>
    <row r="169">
      <c r="A169" s="20" t="inlineStr">
        <is>
          <t>2017/18</t>
        </is>
      </c>
      <c r="B169" s="51" t="n">
        <v>43070</v>
      </c>
      <c r="C169" s="20" t="inlineStr">
        <is>
          <t>December</t>
        </is>
      </c>
      <c r="D169" s="9" t="n">
        <v>1979.767</v>
      </c>
      <c r="E169" s="9" t="n">
        <v>1403.889</v>
      </c>
      <c r="F169" s="9" t="n">
        <v>1890.398209</v>
      </c>
      <c r="G169" s="9" t="n">
        <v>1264.392281</v>
      </c>
      <c r="H169" s="9" t="n">
        <v>2066.421</v>
      </c>
      <c r="I169" s="9" t="n">
        <v>1523.377</v>
      </c>
      <c r="J169" s="9" t="n">
        <v>25.567005</v>
      </c>
    </row>
    <row r="170">
      <c r="A170" s="20" t="inlineStr">
        <is>
          <t>2017/18</t>
        </is>
      </c>
      <c r="B170" s="51" t="n">
        <v>43101</v>
      </c>
      <c r="C170" s="20" t="inlineStr">
        <is>
          <t>January</t>
        </is>
      </c>
      <c r="D170" s="9" t="n">
        <v>1766.454</v>
      </c>
      <c r="E170" s="9" t="n">
        <v>1165.319</v>
      </c>
      <c r="F170" s="9" t="n">
        <v>2391.316354</v>
      </c>
      <c r="G170" s="9" t="n">
        <v>872.511069</v>
      </c>
      <c r="H170" s="9" t="n">
        <v>1847.949</v>
      </c>
      <c r="I170" s="9" t="n">
        <v>2212.902</v>
      </c>
      <c r="J170" s="9" t="n">
        <v>11.818881</v>
      </c>
    </row>
    <row r="171">
      <c r="A171" s="20" t="inlineStr">
        <is>
          <t>2017/18</t>
        </is>
      </c>
      <c r="B171" s="51" t="n">
        <v>43132</v>
      </c>
      <c r="C171" s="20" t="inlineStr">
        <is>
          <t>February</t>
        </is>
      </c>
      <c r="D171" s="9" t="n">
        <v>1578.343</v>
      </c>
      <c r="E171" s="9" t="n">
        <v>955.662</v>
      </c>
      <c r="F171" s="9" t="n">
        <v>1746.275975</v>
      </c>
      <c r="G171" s="9" t="n">
        <v>1040.234508</v>
      </c>
      <c r="H171" s="9" t="n">
        <v>1237.191</v>
      </c>
      <c r="I171" s="9" t="n">
        <v>1258.105</v>
      </c>
      <c r="J171" s="9" t="n">
        <v>31.714373</v>
      </c>
    </row>
    <row r="172">
      <c r="A172" s="20" t="inlineStr">
        <is>
          <t>2017/18</t>
        </is>
      </c>
      <c r="B172" s="51" t="n">
        <v>43160</v>
      </c>
      <c r="C172" s="20" t="inlineStr">
        <is>
          <t>March</t>
        </is>
      </c>
      <c r="D172" s="9" t="n">
        <v>2077.069</v>
      </c>
      <c r="E172" s="9" t="n">
        <v>1521.565</v>
      </c>
      <c r="F172" s="9" t="n">
        <v>1631.86664</v>
      </c>
      <c r="G172" s="9" t="n">
        <v>1011.641572</v>
      </c>
      <c r="H172" s="9" t="n">
        <v>1454.85</v>
      </c>
      <c r="I172" s="9" t="n">
        <v>1995.622</v>
      </c>
      <c r="J172" s="9" t="n">
        <v>29.501371</v>
      </c>
    </row>
    <row r="173">
      <c r="A173" s="20" t="inlineStr">
        <is>
          <t>2017/18</t>
        </is>
      </c>
      <c r="B173" s="51" t="n">
        <v>43191</v>
      </c>
      <c r="C173" s="20" t="inlineStr">
        <is>
          <t>April</t>
        </is>
      </c>
      <c r="D173" s="9" t="n">
        <v>1957.864</v>
      </c>
      <c r="E173" s="9" t="n">
        <v>1403.36</v>
      </c>
      <c r="F173" s="9" t="n">
        <v>622.884836</v>
      </c>
      <c r="G173" s="9" t="n">
        <v>1123.186621</v>
      </c>
      <c r="H173" s="9" t="n">
        <v>2570.647</v>
      </c>
      <c r="I173" s="9" t="n">
        <v>1889.769</v>
      </c>
      <c r="J173" s="9" t="n">
        <v>11.898415</v>
      </c>
    </row>
    <row r="174">
      <c r="A174" s="20" t="inlineStr">
        <is>
          <t>2017/18</t>
        </is>
      </c>
      <c r="B174" s="51" t="n">
        <v>43221</v>
      </c>
      <c r="C174" s="20" t="inlineStr">
        <is>
          <t>May</t>
        </is>
      </c>
      <c r="D174" s="9" t="n">
        <v>1798.257</v>
      </c>
      <c r="E174" s="9" t="n">
        <v>1441.952</v>
      </c>
      <c r="F174" s="9" t="n">
        <v>607.96241</v>
      </c>
      <c r="G174" s="9" t="n">
        <v>1009.511436</v>
      </c>
      <c r="H174" s="9" t="n">
        <v>1956.226</v>
      </c>
      <c r="I174" s="9" t="n">
        <v>2290.793</v>
      </c>
      <c r="J174" s="9" t="n">
        <v>10.40714</v>
      </c>
    </row>
    <row r="175">
      <c r="A175" s="20" t="inlineStr">
        <is>
          <t>2017/18</t>
        </is>
      </c>
      <c r="B175" s="51" t="n">
        <v>43252</v>
      </c>
      <c r="C175" s="20" t="inlineStr">
        <is>
          <t>June</t>
        </is>
      </c>
      <c r="D175" s="9" t="n">
        <v>1559.952</v>
      </c>
      <c r="E175" s="9" t="n">
        <v>1348.375</v>
      </c>
      <c r="F175" s="9" t="n">
        <v>392.2184</v>
      </c>
      <c r="G175" s="9" t="n">
        <v>806.621246</v>
      </c>
      <c r="H175" s="9" t="n">
        <v>1571.815</v>
      </c>
      <c r="I175" s="9" t="n">
        <v>1469.455</v>
      </c>
      <c r="J175" s="9" t="n">
        <v>11.843867</v>
      </c>
    </row>
    <row r="176">
      <c r="A176" s="20" t="inlineStr">
        <is>
          <t>2018/19</t>
        </is>
      </c>
      <c r="B176" s="51" t="n">
        <v>43282</v>
      </c>
      <c r="C176" s="20" t="inlineStr">
        <is>
          <t>July</t>
        </is>
      </c>
      <c r="D176" s="9" t="n">
        <v>1775.851</v>
      </c>
      <c r="E176" s="9" t="n">
        <v>1353.461</v>
      </c>
      <c r="F176" s="9" t="n">
        <v>485.88135</v>
      </c>
      <c r="G176" s="9" t="n">
        <v>940.182484</v>
      </c>
      <c r="H176" s="9" t="n">
        <v>1981.867</v>
      </c>
      <c r="I176" s="9" t="n">
        <v>1674.753</v>
      </c>
      <c r="J176" s="9" t="n">
        <v>16.918824</v>
      </c>
    </row>
    <row r="177">
      <c r="A177" s="20" t="inlineStr">
        <is>
          <t>2018/19</t>
        </is>
      </c>
      <c r="B177" s="51" t="n">
        <v>43313</v>
      </c>
      <c r="C177" s="20" t="inlineStr">
        <is>
          <t>August</t>
        </is>
      </c>
      <c r="D177" s="9" t="n">
        <v>2089.251</v>
      </c>
      <c r="E177" s="9" t="n">
        <v>847.761</v>
      </c>
      <c r="F177" s="9" t="n">
        <v>534.50174</v>
      </c>
      <c r="G177" s="9" t="n">
        <v>2171.342435</v>
      </c>
      <c r="H177" s="9" t="n">
        <v>2057.22</v>
      </c>
      <c r="I177" s="9" t="n">
        <v>1892.556</v>
      </c>
      <c r="J177" s="9" t="n">
        <v>11.287583</v>
      </c>
    </row>
    <row r="178">
      <c r="A178" s="20" t="inlineStr">
        <is>
          <t>2018/19</t>
        </is>
      </c>
      <c r="B178" s="51" t="n">
        <v>43344</v>
      </c>
      <c r="C178" s="20" t="inlineStr">
        <is>
          <t>September</t>
        </is>
      </c>
      <c r="D178" s="9" t="n">
        <v>1789.365</v>
      </c>
      <c r="E178" s="9" t="n">
        <v>863.45</v>
      </c>
      <c r="F178" s="9" t="n">
        <v>471.9032</v>
      </c>
      <c r="G178" s="9" t="n">
        <v>2258.548164</v>
      </c>
      <c r="H178" s="9" t="n">
        <v>1547.064</v>
      </c>
      <c r="I178" s="9" t="n">
        <v>1971.316</v>
      </c>
      <c r="J178" s="9" t="n">
        <v>19.209824</v>
      </c>
    </row>
    <row r="179">
      <c r="A179" s="20" t="inlineStr">
        <is>
          <t>2018/19</t>
        </is>
      </c>
      <c r="B179" s="51" t="n">
        <v>43374</v>
      </c>
      <c r="C179" s="20" t="inlineStr">
        <is>
          <t>October</t>
        </is>
      </c>
      <c r="D179" s="9" t="n">
        <v>1930.042</v>
      </c>
      <c r="E179" s="9" t="n">
        <v>406.151</v>
      </c>
      <c r="F179" s="9" t="n">
        <v>372.047065</v>
      </c>
      <c r="G179" s="9" t="n">
        <v>2186.643355</v>
      </c>
      <c r="H179" s="9" t="n">
        <v>1427.309</v>
      </c>
      <c r="I179" s="9" t="n">
        <v>2073.122</v>
      </c>
      <c r="J179" s="9" t="n">
        <v>36.517098</v>
      </c>
    </row>
    <row r="180">
      <c r="A180" s="20" t="inlineStr">
        <is>
          <t>2018/19</t>
        </is>
      </c>
      <c r="B180" s="51" t="n">
        <v>43405</v>
      </c>
      <c r="C180" s="20" t="inlineStr">
        <is>
          <t>November</t>
        </is>
      </c>
      <c r="D180" s="9" t="n">
        <v>1632.009</v>
      </c>
      <c r="E180" s="9" t="n">
        <v>308.508</v>
      </c>
      <c r="F180" s="9" t="n">
        <v>707.210924</v>
      </c>
      <c r="G180" s="9" t="n">
        <v>1852.650332</v>
      </c>
      <c r="H180" s="9" t="n">
        <v>1293.175</v>
      </c>
      <c r="I180" s="9" t="n">
        <v>1976.442</v>
      </c>
      <c r="J180" s="9" t="n">
        <v>11.845245</v>
      </c>
    </row>
    <row r="181">
      <c r="A181" s="20" t="inlineStr">
        <is>
          <t>2018/19</t>
        </is>
      </c>
      <c r="B181" s="51" t="n">
        <v>43435</v>
      </c>
      <c r="C181" s="20" t="inlineStr">
        <is>
          <t>December</t>
        </is>
      </c>
      <c r="D181" s="9" t="n">
        <v>2286.571</v>
      </c>
      <c r="E181" s="9" t="n">
        <v>719.438</v>
      </c>
      <c r="F181" s="9" t="n">
        <v>2104.786118</v>
      </c>
      <c r="G181" s="9" t="n">
        <v>1098.563063</v>
      </c>
      <c r="H181" s="9" t="n">
        <v>1532.92</v>
      </c>
      <c r="I181" s="9" t="n">
        <v>2126.696</v>
      </c>
      <c r="J181" s="9" t="n">
        <v>18.650398</v>
      </c>
    </row>
    <row r="182">
      <c r="A182" s="20" t="inlineStr">
        <is>
          <t>2018/19</t>
        </is>
      </c>
      <c r="B182" s="51" t="n">
        <v>43466</v>
      </c>
      <c r="C182" s="20" t="inlineStr">
        <is>
          <t>January</t>
        </is>
      </c>
      <c r="D182" s="9" t="n">
        <v>1966.178</v>
      </c>
      <c r="E182" s="9" t="n">
        <v>857.686</v>
      </c>
      <c r="F182" s="9" t="n">
        <v>2700.477289</v>
      </c>
      <c r="G182" s="9" t="n">
        <v>1011.649279</v>
      </c>
      <c r="H182" s="9" t="n">
        <v>1436.332</v>
      </c>
      <c r="I182" s="9" t="n">
        <v>1834.365</v>
      </c>
      <c r="J182" s="9" t="n">
        <v>40.963085</v>
      </c>
    </row>
    <row r="183">
      <c r="A183" s="20" t="inlineStr">
        <is>
          <t>2018/19</t>
        </is>
      </c>
      <c r="B183" s="51" t="n">
        <v>43497</v>
      </c>
      <c r="C183" s="20" t="inlineStr">
        <is>
          <t>February</t>
        </is>
      </c>
      <c r="D183" s="9" t="n">
        <v>2242.392</v>
      </c>
      <c r="E183" s="9" t="n">
        <v>833.7430000000001</v>
      </c>
      <c r="F183" s="9" t="n">
        <v>1520.332015</v>
      </c>
      <c r="G183" s="9" t="n">
        <v>971.8338</v>
      </c>
      <c r="H183" s="9" t="n">
        <v>2410.25</v>
      </c>
      <c r="I183" s="9" t="n">
        <v>1475.209</v>
      </c>
      <c r="J183" s="9" t="n">
        <v>11.662581</v>
      </c>
    </row>
    <row r="184">
      <c r="A184" s="20" t="inlineStr">
        <is>
          <t>2018/19</t>
        </is>
      </c>
      <c r="B184" s="51" t="n">
        <v>43525</v>
      </c>
      <c r="C184" s="20" t="inlineStr">
        <is>
          <t>March</t>
        </is>
      </c>
      <c r="D184" s="9" t="n">
        <v>2036.958</v>
      </c>
      <c r="E184" s="9" t="n">
        <v>952.544</v>
      </c>
      <c r="F184" s="9" t="n">
        <v>949.056092</v>
      </c>
      <c r="G184" s="9" t="n">
        <v>890.990068</v>
      </c>
      <c r="H184" s="9" t="n">
        <v>2693.146</v>
      </c>
      <c r="I184" s="9" t="n">
        <v>2011.571</v>
      </c>
      <c r="J184" s="9" t="n">
        <v>25.230202</v>
      </c>
    </row>
    <row r="185">
      <c r="A185" s="20" t="inlineStr">
        <is>
          <t>2018/19</t>
        </is>
      </c>
      <c r="B185" s="51" t="n">
        <v>43556</v>
      </c>
      <c r="C185" s="20" t="inlineStr">
        <is>
          <t>April</t>
        </is>
      </c>
      <c r="D185" s="9" t="n">
        <v>2747.87</v>
      </c>
      <c r="E185" s="9" t="n">
        <v>829.126</v>
      </c>
      <c r="F185" s="9" t="n">
        <v>861.302548</v>
      </c>
      <c r="G185" s="9" t="n">
        <v>940.901685</v>
      </c>
      <c r="H185" s="9" t="n">
        <v>3051.424</v>
      </c>
      <c r="I185" s="9" t="n">
        <v>2648.426</v>
      </c>
      <c r="J185" s="9" t="n">
        <v>10.698192</v>
      </c>
    </row>
    <row r="186">
      <c r="A186" s="20" t="inlineStr">
        <is>
          <t>2018/19</t>
        </is>
      </c>
      <c r="B186" s="51" t="n">
        <v>43586</v>
      </c>
      <c r="C186" s="20" t="inlineStr">
        <is>
          <t>May</t>
        </is>
      </c>
      <c r="D186" s="9" t="n">
        <v>2849.657</v>
      </c>
      <c r="E186" s="9" t="n">
        <v>1226.884</v>
      </c>
      <c r="F186" s="9" t="n">
        <v>646.540625</v>
      </c>
      <c r="G186" s="9" t="n">
        <v>827.040688</v>
      </c>
      <c r="H186" s="9" t="n">
        <v>1772.064</v>
      </c>
      <c r="I186" s="9" t="n">
        <v>2448.868</v>
      </c>
      <c r="J186" s="9" t="n">
        <v>21.898475</v>
      </c>
    </row>
    <row r="187">
      <c r="A187" s="20" t="inlineStr">
        <is>
          <t>2018/19</t>
        </is>
      </c>
      <c r="B187" s="51" t="n">
        <v>43617</v>
      </c>
      <c r="C187" s="20" t="inlineStr">
        <is>
          <t>June</t>
        </is>
      </c>
      <c r="D187" s="9" t="n">
        <v>2263.533</v>
      </c>
      <c r="E187" s="9" t="n">
        <v>584.713</v>
      </c>
      <c r="F187" s="9" t="n">
        <v>480.97782</v>
      </c>
      <c r="G187" s="9" t="n">
        <v>423.879856</v>
      </c>
      <c r="H187" s="9" t="n">
        <v>1173.236</v>
      </c>
      <c r="I187" s="9" t="n">
        <v>2014.634</v>
      </c>
      <c r="J187" s="9" t="n">
        <v>14.617862</v>
      </c>
    </row>
    <row r="188">
      <c r="A188" s="20" t="inlineStr">
        <is>
          <t>2019/20</t>
        </is>
      </c>
      <c r="B188" s="51" t="n">
        <v>43647</v>
      </c>
      <c r="C188" s="20" t="inlineStr">
        <is>
          <t>July</t>
        </is>
      </c>
      <c r="D188" s="9" t="n">
        <v>1871.543</v>
      </c>
      <c r="E188" s="9" t="n">
        <v>732.3099999999999</v>
      </c>
      <c r="F188" s="9" t="n">
        <v>435.743095</v>
      </c>
      <c r="G188" s="9" t="n">
        <v>1262.43575</v>
      </c>
      <c r="H188" s="9" t="n">
        <v>2064.537</v>
      </c>
      <c r="I188" s="9" t="n">
        <v>1618.054</v>
      </c>
      <c r="J188" s="9" t="n">
        <v>32.699454</v>
      </c>
    </row>
    <row r="189">
      <c r="A189" s="20" t="inlineStr">
        <is>
          <t>2019/20</t>
        </is>
      </c>
      <c r="B189" s="51" t="n">
        <v>43678</v>
      </c>
      <c r="C189" s="20" t="inlineStr">
        <is>
          <t>August</t>
        </is>
      </c>
      <c r="D189" s="9" t="n">
        <v>2577.577</v>
      </c>
      <c r="E189" s="9" t="n">
        <v>592.067</v>
      </c>
      <c r="F189" s="9" t="n">
        <v>392.539825</v>
      </c>
      <c r="G189" s="9" t="n">
        <v>3548.118245</v>
      </c>
      <c r="H189" s="9" t="n">
        <v>3037.39</v>
      </c>
      <c r="I189" s="9" t="n">
        <v>1765.958</v>
      </c>
      <c r="J189" s="9" t="n">
        <v>25.970107</v>
      </c>
    </row>
    <row r="190">
      <c r="A190" s="20" t="inlineStr">
        <is>
          <t>2019/20</t>
        </is>
      </c>
      <c r="B190" s="51" t="n">
        <v>43709</v>
      </c>
      <c r="C190" s="20" t="inlineStr">
        <is>
          <t>September</t>
        </is>
      </c>
      <c r="D190" s="9" t="n">
        <v>2164.945</v>
      </c>
      <c r="E190" s="9" t="n">
        <v>916.904</v>
      </c>
      <c r="F190" s="9" t="n">
        <v>301.949915</v>
      </c>
      <c r="G190" s="9" t="n">
        <v>3814.622239</v>
      </c>
      <c r="H190" s="9" t="n">
        <v>2659.536</v>
      </c>
      <c r="I190" s="9" t="n">
        <v>1455.425</v>
      </c>
      <c r="J190" s="9" t="n">
        <v>15.292558</v>
      </c>
    </row>
    <row r="191">
      <c r="A191" s="20" t="inlineStr">
        <is>
          <t>2019/20</t>
        </is>
      </c>
      <c r="B191" s="51" t="n">
        <v>43739</v>
      </c>
      <c r="C191" s="20" t="inlineStr">
        <is>
          <t>October</t>
        </is>
      </c>
      <c r="D191" s="9" t="n">
        <v>2271.82</v>
      </c>
      <c r="E191" s="9" t="n">
        <v>589.859</v>
      </c>
      <c r="F191" s="9" t="n">
        <v>231.57137</v>
      </c>
      <c r="G191" s="9" t="n">
        <v>2905.395185</v>
      </c>
      <c r="H191" s="9" t="n">
        <v>2696.446</v>
      </c>
      <c r="I191" s="9" t="n">
        <v>2023.561</v>
      </c>
      <c r="J191" s="9" t="n">
        <v>13.231865</v>
      </c>
    </row>
    <row r="192">
      <c r="A192" s="20" t="inlineStr">
        <is>
          <t>2019/20</t>
        </is>
      </c>
      <c r="B192" s="51" t="n">
        <v>43770</v>
      </c>
      <c r="C192" s="20" t="inlineStr">
        <is>
          <t>November</t>
        </is>
      </c>
      <c r="D192" s="9" t="n">
        <v>1757.94</v>
      </c>
      <c r="E192" s="9" t="n">
        <v>552.004</v>
      </c>
      <c r="F192" s="9" t="n">
        <v>667.415978</v>
      </c>
      <c r="G192" s="9" t="n">
        <v>1938.133493</v>
      </c>
      <c r="H192" s="9" t="n">
        <v>2445.189</v>
      </c>
      <c r="I192" s="9" t="n">
        <v>1798.351</v>
      </c>
      <c r="J192" s="9" t="n">
        <v>20.323276</v>
      </c>
    </row>
    <row r="193">
      <c r="A193" s="20" t="inlineStr">
        <is>
          <t>2019/20</t>
        </is>
      </c>
      <c r="B193" s="51" t="n">
        <v>43800</v>
      </c>
      <c r="C193" s="20" t="inlineStr">
        <is>
          <t>December</t>
        </is>
      </c>
      <c r="D193" s="9" t="n">
        <v>2198.126</v>
      </c>
      <c r="E193" s="9" t="n">
        <v>919.383</v>
      </c>
      <c r="F193" s="9" t="n">
        <v>2103.54208</v>
      </c>
      <c r="G193" s="9" t="n">
        <v>1486.767155</v>
      </c>
      <c r="H193" s="9" t="n">
        <v>3017.509</v>
      </c>
      <c r="I193" s="9" t="n">
        <v>1720.821</v>
      </c>
      <c r="J193" s="9" t="n">
        <v>15.953055</v>
      </c>
    </row>
    <row r="194">
      <c r="A194" s="20" t="inlineStr">
        <is>
          <t>2019/20</t>
        </is>
      </c>
      <c r="B194" s="51" t="n">
        <v>43831</v>
      </c>
      <c r="C194" s="20" t="inlineStr">
        <is>
          <t>January</t>
        </is>
      </c>
      <c r="D194" s="9" t="n">
        <v>1917.056</v>
      </c>
      <c r="E194" s="9" t="n">
        <v>1297.641</v>
      </c>
      <c r="F194" s="9" t="n">
        <v>3815.719187</v>
      </c>
      <c r="G194" s="9" t="n">
        <v>924.1530289999999</v>
      </c>
      <c r="H194" s="9" t="n">
        <v>2776.822</v>
      </c>
      <c r="I194" s="9" t="n">
        <v>1687.916</v>
      </c>
      <c r="J194" s="9" t="n">
        <v>27.698725</v>
      </c>
    </row>
    <row r="195">
      <c r="A195" s="20" t="inlineStr">
        <is>
          <t>2019/20</t>
        </is>
      </c>
      <c r="B195" s="51" t="n">
        <v>43862</v>
      </c>
      <c r="C195" s="20" t="inlineStr">
        <is>
          <t>February</t>
        </is>
      </c>
      <c r="D195" s="9" t="n">
        <v>2189.085</v>
      </c>
      <c r="E195" s="9" t="n">
        <v>799.181</v>
      </c>
      <c r="F195" s="9" t="n">
        <v>1916.074985</v>
      </c>
      <c r="G195" s="9" t="n">
        <v>680.595634</v>
      </c>
      <c r="H195" s="9" t="n">
        <v>3815.957</v>
      </c>
      <c r="I195" s="9" t="n">
        <v>1359.937</v>
      </c>
      <c r="J195" s="9" t="n">
        <v>12.499793</v>
      </c>
    </row>
    <row r="196">
      <c r="A196" s="20" t="inlineStr">
        <is>
          <t>2019/20</t>
        </is>
      </c>
      <c r="B196" s="51" t="n">
        <v>43891</v>
      </c>
      <c r="C196" s="20" t="inlineStr">
        <is>
          <t>March</t>
        </is>
      </c>
      <c r="D196" s="9" t="n">
        <v>1794.269</v>
      </c>
      <c r="E196" s="9" t="n">
        <v>1019.133</v>
      </c>
      <c r="F196" s="9" t="n">
        <v>1407.947031</v>
      </c>
      <c r="G196" s="9" t="n">
        <v>1309.846102</v>
      </c>
      <c r="H196" s="9" t="n">
        <v>5302.451</v>
      </c>
      <c r="I196" s="9" t="n">
        <v>1922.527</v>
      </c>
      <c r="J196" s="9" t="n">
        <v>8.596669</v>
      </c>
    </row>
    <row r="197">
      <c r="A197" s="20" t="inlineStr">
        <is>
          <t>2019/20</t>
        </is>
      </c>
      <c r="B197" s="51" t="n">
        <v>43922</v>
      </c>
      <c r="C197" s="20" t="inlineStr">
        <is>
          <t>April</t>
        </is>
      </c>
      <c r="D197" s="9" t="n">
        <v>2482.503</v>
      </c>
      <c r="E197" s="9" t="n">
        <v>864.1420000000001</v>
      </c>
      <c r="F197" s="9" t="n">
        <v>745.602985</v>
      </c>
      <c r="G197" s="9" t="n">
        <v>1200.301536</v>
      </c>
      <c r="H197" s="9" t="n">
        <v>4221.396</v>
      </c>
      <c r="I197" s="9" t="n">
        <v>2207.67</v>
      </c>
      <c r="J197" s="9" t="n">
        <v>39.314562</v>
      </c>
    </row>
    <row r="198">
      <c r="A198" s="20" t="inlineStr">
        <is>
          <t>2019/20</t>
        </is>
      </c>
      <c r="B198" s="51" t="n">
        <v>43952</v>
      </c>
      <c r="C198" s="20" t="inlineStr">
        <is>
          <t>May</t>
        </is>
      </c>
      <c r="D198" s="9" t="n">
        <v>2287.365</v>
      </c>
      <c r="E198" s="9" t="n">
        <v>764.179</v>
      </c>
      <c r="F198" s="9" t="n">
        <v>391.880738</v>
      </c>
      <c r="G198" s="9" t="n">
        <v>1191.440109</v>
      </c>
      <c r="H198" s="9" t="n">
        <v>2947.337</v>
      </c>
      <c r="I198" s="9" t="n">
        <v>2966.337</v>
      </c>
      <c r="J198" s="9" t="n">
        <v>34.997412</v>
      </c>
    </row>
    <row r="199">
      <c r="A199" s="20" t="inlineStr">
        <is>
          <t>2019/20</t>
        </is>
      </c>
      <c r="B199" s="51" t="n">
        <v>43983</v>
      </c>
      <c r="C199" s="20" t="inlineStr">
        <is>
          <t>June</t>
        </is>
      </c>
      <c r="D199" s="9" t="n">
        <v>2277.605</v>
      </c>
      <c r="E199" s="9" t="n">
        <v>1039.691</v>
      </c>
      <c r="F199" s="9" t="n">
        <v>319.48706</v>
      </c>
      <c r="G199" s="9" t="n">
        <v>256.448998</v>
      </c>
      <c r="H199" s="9" t="n">
        <v>2143.126</v>
      </c>
      <c r="I199" s="9" t="n">
        <v>2113.443</v>
      </c>
      <c r="J199" s="9" t="n">
        <v>37.176208</v>
      </c>
    </row>
    <row r="200">
      <c r="A200" s="20" t="inlineStr">
        <is>
          <t>2020/21</t>
        </is>
      </c>
      <c r="B200" s="51" t="n">
        <v>44013</v>
      </c>
      <c r="C200" s="20" t="inlineStr">
        <is>
          <t>July</t>
        </is>
      </c>
      <c r="D200" s="9" t="n">
        <v>2407.119</v>
      </c>
      <c r="E200" s="9" t="n">
        <v>437.571</v>
      </c>
      <c r="F200" s="9" t="n">
        <v>339.12511</v>
      </c>
      <c r="G200" s="9" t="n">
        <v>1239.175836</v>
      </c>
      <c r="H200" s="9" t="n">
        <v>1507.579</v>
      </c>
      <c r="I200" s="9" t="n">
        <v>2763.919</v>
      </c>
      <c r="J200" s="9" t="n">
        <v>58.855574</v>
      </c>
    </row>
    <row r="201">
      <c r="A201" s="20" t="inlineStr">
        <is>
          <t>2020/21</t>
        </is>
      </c>
      <c r="B201" s="51" t="n">
        <v>44044</v>
      </c>
      <c r="C201" s="20" t="inlineStr">
        <is>
          <t>August</t>
        </is>
      </c>
      <c r="D201" s="9" t="n">
        <v>2563.723</v>
      </c>
      <c r="E201" s="9" t="n">
        <v>378.245</v>
      </c>
      <c r="F201" s="9" t="n">
        <v>247.78814</v>
      </c>
      <c r="G201" s="9" t="n">
        <v>3701.268747</v>
      </c>
      <c r="H201" s="9" t="n">
        <v>2065.957</v>
      </c>
      <c r="I201" s="9" t="n">
        <v>2368.546</v>
      </c>
      <c r="J201" s="9" t="n">
        <v>92.438987</v>
      </c>
    </row>
    <row r="202">
      <c r="A202" s="20" t="inlineStr">
        <is>
          <t>2020/21</t>
        </is>
      </c>
      <c r="B202" s="51" t="n">
        <v>44075</v>
      </c>
      <c r="C202" s="20" t="inlineStr">
        <is>
          <t>September</t>
        </is>
      </c>
      <c r="D202" s="9" t="n">
        <v>2685.722</v>
      </c>
      <c r="E202" s="9" t="n">
        <v>443.079</v>
      </c>
      <c r="F202" s="9" t="n">
        <v>254.31766</v>
      </c>
      <c r="G202" s="9" t="n">
        <v>3709.72617</v>
      </c>
      <c r="H202" s="9" t="n">
        <v>2316.323</v>
      </c>
      <c r="I202" s="9" t="n">
        <v>1738.339</v>
      </c>
      <c r="J202" s="9" t="n">
        <v>140.389488</v>
      </c>
    </row>
    <row r="203">
      <c r="A203" s="20" t="inlineStr">
        <is>
          <t>2020/21</t>
        </is>
      </c>
      <c r="B203" s="51" t="n">
        <v>44105</v>
      </c>
      <c r="C203" s="20" t="inlineStr">
        <is>
          <t>October</t>
        </is>
      </c>
      <c r="D203" s="9" t="n">
        <v>1738.845</v>
      </c>
      <c r="E203" s="9" t="n">
        <v>363.283</v>
      </c>
      <c r="F203" s="9" t="n">
        <v>69.61051</v>
      </c>
      <c r="G203" s="9" t="n">
        <v>2155.101762</v>
      </c>
      <c r="H203" s="9" t="n">
        <v>2615.122</v>
      </c>
      <c r="I203" s="9" t="n">
        <v>2287.235</v>
      </c>
      <c r="J203" s="9" t="n">
        <v>212.466253</v>
      </c>
    </row>
    <row r="204">
      <c r="A204" s="20" t="inlineStr">
        <is>
          <t>2020/21</t>
        </is>
      </c>
      <c r="B204" s="51" t="n">
        <v>44136</v>
      </c>
      <c r="C204" s="20" t="inlineStr">
        <is>
          <t>November</t>
        </is>
      </c>
      <c r="D204" s="9" t="n">
        <v>1891.357</v>
      </c>
      <c r="E204" s="9" t="n">
        <v>505.449</v>
      </c>
      <c r="F204" s="9" t="n">
        <v>293.90414</v>
      </c>
      <c r="G204" s="9" t="n">
        <v>1190.430224</v>
      </c>
      <c r="H204" s="9" t="n">
        <v>2866.349</v>
      </c>
      <c r="I204" s="9" t="n">
        <v>2368.286</v>
      </c>
      <c r="J204" s="9" t="n">
        <v>230.593599</v>
      </c>
    </row>
    <row r="205">
      <c r="A205" s="20" t="inlineStr">
        <is>
          <t>2020/21</t>
        </is>
      </c>
      <c r="B205" s="51" t="n">
        <v>44166</v>
      </c>
      <c r="C205" s="20" t="inlineStr">
        <is>
          <t>December</t>
        </is>
      </c>
      <c r="D205" s="9" t="n">
        <v>1879.846</v>
      </c>
      <c r="E205" s="9" t="n">
        <v>2485.306</v>
      </c>
      <c r="F205" s="9" t="n">
        <v>840.526515</v>
      </c>
      <c r="G205" s="9" t="n">
        <v>494.948819</v>
      </c>
      <c r="H205" s="9" t="n">
        <v>3316.595</v>
      </c>
      <c r="I205" s="9" t="n">
        <v>2290.193</v>
      </c>
      <c r="J205" s="9" t="n">
        <v>221.799536</v>
      </c>
    </row>
    <row r="206">
      <c r="A206" s="20" t="inlineStr">
        <is>
          <t>2020/21</t>
        </is>
      </c>
      <c r="B206" s="51" t="n">
        <v>44197</v>
      </c>
      <c r="C206" s="20" t="inlineStr">
        <is>
          <t>January</t>
        </is>
      </c>
      <c r="D206" s="9" t="n">
        <v>1988.626</v>
      </c>
      <c r="E206" s="9" t="n">
        <v>2401.367</v>
      </c>
      <c r="F206" s="9" t="n">
        <v>507.696386</v>
      </c>
      <c r="G206" s="9" t="n">
        <v>401.084998</v>
      </c>
      <c r="H206" s="9" t="n">
        <v>2207.2</v>
      </c>
      <c r="I206" s="9" t="n">
        <v>2444.745</v>
      </c>
      <c r="J206" s="9" t="n">
        <v>309.001783</v>
      </c>
    </row>
    <row r="207">
      <c r="A207" s="20" t="inlineStr">
        <is>
          <t>2020/21</t>
        </is>
      </c>
      <c r="B207" s="51" t="n">
        <v>44228</v>
      </c>
      <c r="C207" s="20" t="inlineStr">
        <is>
          <t>February</t>
        </is>
      </c>
      <c r="D207" s="9" t="n">
        <v>1764.522</v>
      </c>
      <c r="E207" s="9" t="n">
        <v>2625.703</v>
      </c>
      <c r="F207" s="9" t="n">
        <v>708.998053</v>
      </c>
      <c r="G207" s="9" t="n">
        <v>121.330839</v>
      </c>
      <c r="H207" s="9" t="n">
        <v>2603.217</v>
      </c>
      <c r="I207" s="9" t="n">
        <v>1626.833</v>
      </c>
      <c r="J207" s="9" t="n">
        <v>395.646159</v>
      </c>
    </row>
    <row r="208">
      <c r="A208" s="20" t="inlineStr">
        <is>
          <t>2020/21</t>
        </is>
      </c>
      <c r="B208" s="51" t="n">
        <v>44256</v>
      </c>
      <c r="C208" s="20" t="inlineStr">
        <is>
          <t>March</t>
        </is>
      </c>
      <c r="D208" s="9" t="n">
        <v>2261.681</v>
      </c>
      <c r="E208" s="9" t="n">
        <v>2296.829</v>
      </c>
      <c r="F208" s="9" t="n">
        <v>696.950056</v>
      </c>
      <c r="G208" s="9" t="n">
        <v>45.341513</v>
      </c>
      <c r="H208" s="9" t="n">
        <v>2612.987</v>
      </c>
      <c r="I208" s="9" t="n">
        <v>2577.003</v>
      </c>
      <c r="J208" s="9" t="n">
        <v>381.150471</v>
      </c>
    </row>
    <row r="209">
      <c r="A209" s="20" t="inlineStr">
        <is>
          <t>2020/21</t>
        </is>
      </c>
      <c r="B209" s="51" t="n">
        <v>44287</v>
      </c>
      <c r="C209" s="20" t="inlineStr">
        <is>
          <t>April</t>
        </is>
      </c>
      <c r="D209" s="9" t="n">
        <v>2548.591</v>
      </c>
      <c r="E209" s="9" t="n">
        <v>2403.328</v>
      </c>
      <c r="F209" s="9" t="n">
        <v>713.198482</v>
      </c>
      <c r="G209" s="9" t="n">
        <v>0</v>
      </c>
      <c r="H209" s="9" t="n">
        <v>2276.905</v>
      </c>
      <c r="I209" s="9" t="n">
        <v>2458.249</v>
      </c>
      <c r="J209" s="9" t="n">
        <v>242.857687</v>
      </c>
    </row>
    <row r="210">
      <c r="A210" s="20" t="inlineStr">
        <is>
          <t>2020/21</t>
        </is>
      </c>
      <c r="B210" s="51" t="n">
        <v>44317</v>
      </c>
      <c r="C210" s="20" t="inlineStr">
        <is>
          <t>May</t>
        </is>
      </c>
      <c r="D210" s="9" t="n">
        <v>2484.395</v>
      </c>
      <c r="E210" s="9" t="n">
        <v>2580.07</v>
      </c>
      <c r="F210" s="9" t="n">
        <v>857.666531</v>
      </c>
      <c r="G210" s="9" t="n">
        <v>1e-05</v>
      </c>
      <c r="H210" s="9" t="n">
        <v>1955.919</v>
      </c>
      <c r="I210" s="9" t="n">
        <v>2460.434</v>
      </c>
      <c r="J210" s="9" t="n">
        <v>409.009502</v>
      </c>
    </row>
    <row r="211">
      <c r="A211" s="20" t="inlineStr">
        <is>
          <t>2020/21</t>
        </is>
      </c>
      <c r="B211" s="51" t="n">
        <v>44348</v>
      </c>
      <c r="C211" s="20" t="inlineStr">
        <is>
          <t>June</t>
        </is>
      </c>
      <c r="D211" s="9" t="n">
        <v>1871.291</v>
      </c>
      <c r="E211" s="9" t="n">
        <v>2765.813</v>
      </c>
      <c r="F211" s="9" t="n">
        <v>662.231567</v>
      </c>
      <c r="G211" s="9" t="n">
        <v>0</v>
      </c>
      <c r="H211" s="9" t="n">
        <v>987.352</v>
      </c>
      <c r="I211" s="9" t="n">
        <v>1992.108</v>
      </c>
      <c r="J211" s="9" t="n">
        <v>458.338429</v>
      </c>
    </row>
    <row r="212">
      <c r="A212" s="20" t="inlineStr">
        <is>
          <t>2021/22</t>
        </is>
      </c>
      <c r="B212" s="51" t="n">
        <v>44378</v>
      </c>
      <c r="C212" s="20" t="inlineStr">
        <is>
          <t>July</t>
        </is>
      </c>
      <c r="D212" s="9" t="n">
        <v>2203.236</v>
      </c>
      <c r="E212" s="9" t="n">
        <v>1900.461</v>
      </c>
      <c r="F212" s="9" t="n">
        <v>960.59853</v>
      </c>
      <c r="G212" s="9" t="n">
        <v>2e-06</v>
      </c>
      <c r="H212" s="9" t="n">
        <v>1640.855</v>
      </c>
      <c r="I212" s="9" t="n">
        <v>1477.298</v>
      </c>
      <c r="J212" s="9" t="n">
        <v>377.251456</v>
      </c>
    </row>
    <row r="213">
      <c r="A213" s="20" t="inlineStr">
        <is>
          <t>2021/22</t>
        </is>
      </c>
      <c r="B213" s="51" t="n">
        <v>44409</v>
      </c>
      <c r="C213" s="20" t="inlineStr">
        <is>
          <t>August</t>
        </is>
      </c>
      <c r="D213" s="9" t="n">
        <v>2602.003</v>
      </c>
      <c r="E213" s="9" t="n">
        <v>2112.643</v>
      </c>
      <c r="F213" s="9" t="n">
        <v>3612.050565</v>
      </c>
      <c r="G213" s="9" t="n">
        <v>21.01476</v>
      </c>
      <c r="H213" s="9" t="n">
        <v>3645.237</v>
      </c>
      <c r="I213" s="9" t="n">
        <v>1944.351</v>
      </c>
      <c r="J213" s="9" t="n">
        <v>523.008994</v>
      </c>
    </row>
    <row r="214">
      <c r="A214" s="20" t="inlineStr">
        <is>
          <t>2021/22</t>
        </is>
      </c>
      <c r="B214" s="51" t="n">
        <v>44440</v>
      </c>
      <c r="C214" s="20" t="inlineStr">
        <is>
          <t>September</t>
        </is>
      </c>
      <c r="D214" s="9" t="n">
        <v>2331.584</v>
      </c>
      <c r="E214" s="9" t="n">
        <v>1255.826</v>
      </c>
      <c r="F214" s="9" t="n">
        <v>4362.981858</v>
      </c>
      <c r="G214" s="9" t="n">
        <v>1.5e-05</v>
      </c>
      <c r="H214" s="9" t="n">
        <v>4169.602</v>
      </c>
      <c r="I214" s="9" t="n">
        <v>1326.052</v>
      </c>
      <c r="J214" s="9" t="n">
        <v>365.506645</v>
      </c>
    </row>
    <row r="215">
      <c r="A215" s="20" t="inlineStr">
        <is>
          <t>2021/22</t>
        </is>
      </c>
      <c r="B215" s="51" t="n">
        <v>44470</v>
      </c>
      <c r="C215" s="20" t="inlineStr">
        <is>
          <t>October</t>
        </is>
      </c>
      <c r="D215" s="9" t="n">
        <v>1247.079</v>
      </c>
      <c r="E215" s="9" t="n">
        <v>1441.989</v>
      </c>
      <c r="F215" s="9" t="n">
        <v>3414.918924</v>
      </c>
      <c r="G215" s="9" t="n">
        <v>0</v>
      </c>
      <c r="H215" s="9" t="n">
        <v>2445.9</v>
      </c>
      <c r="I215" s="9" t="n">
        <v>1136.176</v>
      </c>
      <c r="J215" s="9" t="n">
        <v>876.968506</v>
      </c>
    </row>
    <row r="216">
      <c r="A216" s="20" t="inlineStr">
        <is>
          <t>2021/22</t>
        </is>
      </c>
      <c r="B216" s="51" t="n">
        <v>44501</v>
      </c>
      <c r="C216" s="20" t="inlineStr">
        <is>
          <t>November</t>
        </is>
      </c>
      <c r="D216" s="9" t="n">
        <v>1370.415</v>
      </c>
      <c r="E216" s="9" t="n">
        <v>1526.63</v>
      </c>
      <c r="F216" s="9" t="n">
        <v>2375.033386</v>
      </c>
      <c r="G216" s="9" t="n">
        <v>2.8e-05</v>
      </c>
      <c r="H216" s="9" t="n">
        <v>2202.586</v>
      </c>
      <c r="I216" s="9" t="n">
        <v>1140.94</v>
      </c>
      <c r="J216" s="9" t="n">
        <v>910.643492</v>
      </c>
    </row>
    <row r="217">
      <c r="A217" s="20" t="inlineStr">
        <is>
          <t>2021/22</t>
        </is>
      </c>
      <c r="B217" s="51" t="n">
        <v>44531</v>
      </c>
      <c r="C217" s="20" t="inlineStr">
        <is>
          <t>December</t>
        </is>
      </c>
      <c r="D217" s="9" t="n">
        <v>1237.292</v>
      </c>
      <c r="E217" s="9" t="n">
        <v>2182.617</v>
      </c>
      <c r="F217" s="9" t="n">
        <v>1173.06522</v>
      </c>
      <c r="G217" s="9" t="n">
        <v>540.5151499999999</v>
      </c>
      <c r="H217" s="9" t="n">
        <v>2227.989</v>
      </c>
      <c r="I217" s="9" t="n">
        <v>929.532</v>
      </c>
      <c r="J217" s="9" t="n">
        <v>931.5078</v>
      </c>
    </row>
    <row r="218">
      <c r="A218" s="20" t="inlineStr">
        <is>
          <t>2021/22</t>
        </is>
      </c>
      <c r="B218" s="51" t="n">
        <v>44562</v>
      </c>
      <c r="C218" s="20" t="inlineStr">
        <is>
          <t>January</t>
        </is>
      </c>
      <c r="D218" s="9" t="n">
        <v>1675.742</v>
      </c>
      <c r="E218" s="9" t="n">
        <v>2658.128</v>
      </c>
      <c r="F218" s="9" t="n">
        <v>1148.895534</v>
      </c>
      <c r="G218" s="9" t="n">
        <v>586.392995</v>
      </c>
      <c r="H218" s="9" t="n">
        <v>1941.859</v>
      </c>
      <c r="I218" s="9" t="n">
        <v>1091.374</v>
      </c>
      <c r="J218" s="9" t="n">
        <v>977.720928</v>
      </c>
    </row>
    <row r="219">
      <c r="A219" s="20" t="inlineStr">
        <is>
          <t>2021/22</t>
        </is>
      </c>
      <c r="B219" s="51" t="n">
        <v>44593</v>
      </c>
      <c r="C219" s="20" t="inlineStr">
        <is>
          <t>February</t>
        </is>
      </c>
      <c r="D219" s="9" t="n">
        <v>1889.144</v>
      </c>
      <c r="E219" s="9" t="n">
        <v>2703.414</v>
      </c>
      <c r="F219" s="9" t="n">
        <v>1040.297414</v>
      </c>
      <c r="G219" s="9" t="n">
        <v>820.2279600000001</v>
      </c>
      <c r="H219" s="9" t="n">
        <v>1957.249</v>
      </c>
      <c r="I219" s="9" t="n">
        <v>1148.219</v>
      </c>
      <c r="J219" s="9" t="n">
        <v>601.001406</v>
      </c>
    </row>
    <row r="220">
      <c r="A220" s="20" t="inlineStr">
        <is>
          <t>2021/22</t>
        </is>
      </c>
      <c r="B220" s="51" t="n">
        <v>44621</v>
      </c>
      <c r="C220" s="20" t="inlineStr">
        <is>
          <t>March</t>
        </is>
      </c>
      <c r="D220" s="9" t="n">
        <v>1624.358</v>
      </c>
      <c r="E220" s="9" t="n">
        <v>2481.455</v>
      </c>
      <c r="F220" s="9" t="n">
        <v>306.530697</v>
      </c>
      <c r="G220" s="9" t="n">
        <v>768.601859</v>
      </c>
      <c r="H220" s="9" t="n">
        <v>2368.794</v>
      </c>
      <c r="I220" s="9" t="n">
        <v>1075.982</v>
      </c>
      <c r="J220" s="9" t="n">
        <v>568.66002</v>
      </c>
    </row>
    <row r="221">
      <c r="A221" s="20" t="inlineStr">
        <is>
          <t>2021/22</t>
        </is>
      </c>
      <c r="B221" s="51" t="n">
        <v>44652</v>
      </c>
      <c r="C221" s="20" t="inlineStr">
        <is>
          <t>April</t>
        </is>
      </c>
      <c r="D221" s="9" t="n">
        <v>1733.052</v>
      </c>
      <c r="E221" s="9" t="n">
        <v>2569.656</v>
      </c>
      <c r="F221" s="9" t="n">
        <v>127.129585</v>
      </c>
      <c r="G221" s="9" t="n">
        <v>147.168416</v>
      </c>
      <c r="H221" s="9" t="n">
        <v>2247.54</v>
      </c>
      <c r="I221" s="9" t="n">
        <v>1051.612</v>
      </c>
      <c r="J221" s="9" t="n">
        <v>1472.785399</v>
      </c>
    </row>
    <row r="222">
      <c r="A222" s="20" t="inlineStr">
        <is>
          <t>2021/22</t>
        </is>
      </c>
      <c r="B222" s="51" t="n">
        <v>44682</v>
      </c>
      <c r="C222" s="20" t="inlineStr">
        <is>
          <t>May</t>
        </is>
      </c>
      <c r="D222" s="9" t="n">
        <v>1355.437</v>
      </c>
      <c r="E222" s="9" t="n">
        <v>2341.992</v>
      </c>
      <c r="F222" s="9" t="n">
        <v>50.326332</v>
      </c>
      <c r="G222" s="9" t="n">
        <v>107.988932</v>
      </c>
      <c r="H222" s="9" t="n">
        <v>2252.55</v>
      </c>
      <c r="I222" s="9" t="n">
        <v>1360.595</v>
      </c>
      <c r="J222" s="9" t="n">
        <v>1134.769609</v>
      </c>
    </row>
    <row r="223">
      <c r="A223" s="20" t="inlineStr">
        <is>
          <t>2021/22</t>
        </is>
      </c>
      <c r="B223" s="51" t="n">
        <v>44713</v>
      </c>
      <c r="C223" s="20" t="inlineStr">
        <is>
          <t>June</t>
        </is>
      </c>
      <c r="D223" s="9" t="n">
        <v>1563.441</v>
      </c>
      <c r="E223" s="9" t="n">
        <v>2710.459</v>
      </c>
      <c r="F223" s="9" t="n">
        <v>142.668667</v>
      </c>
      <c r="G223" s="9" t="n">
        <v>36.309689</v>
      </c>
      <c r="H223" s="9" t="n">
        <v>2413.311</v>
      </c>
      <c r="I223" s="9" t="n">
        <v>1009.014</v>
      </c>
      <c r="J223" s="9" t="n">
        <v>724.703296</v>
      </c>
    </row>
    <row r="224">
      <c r="A224" s="20" t="inlineStr">
        <is>
          <t>2022/23</t>
        </is>
      </c>
      <c r="B224" s="51" t="n">
        <v>44743</v>
      </c>
      <c r="C224" s="20" t="inlineStr">
        <is>
          <t>July</t>
        </is>
      </c>
      <c r="D224" s="9" t="n">
        <v>1461.967</v>
      </c>
      <c r="E224" s="9" t="n">
        <v>2583.675</v>
      </c>
      <c r="F224" s="9" t="n">
        <v>374.873828</v>
      </c>
      <c r="G224" s="9" t="n">
        <v>4e-05</v>
      </c>
      <c r="H224" s="9" t="n">
        <v>2964.161</v>
      </c>
      <c r="I224" s="9" t="n">
        <v>1603.887</v>
      </c>
      <c r="J224" s="9" t="n">
        <v>494.221434</v>
      </c>
    </row>
    <row r="225">
      <c r="A225" s="20" t="inlineStr">
        <is>
          <t>2022/23</t>
        </is>
      </c>
      <c r="B225" s="51" t="n">
        <v>44774</v>
      </c>
      <c r="C225" s="20" t="inlineStr">
        <is>
          <t>August</t>
        </is>
      </c>
      <c r="D225" s="9" t="n">
        <v>2515.933</v>
      </c>
      <c r="E225" s="9" t="n">
        <v>2479.275</v>
      </c>
      <c r="F225" s="9" t="n">
        <v>880.052049</v>
      </c>
      <c r="G225" s="9" t="n">
        <v>2.5e-05</v>
      </c>
      <c r="H225" s="9" t="n">
        <v>4261.405</v>
      </c>
      <c r="I225" s="9" t="n">
        <v>1264.506</v>
      </c>
      <c r="J225" s="9" t="n">
        <v>580.81363</v>
      </c>
    </row>
    <row r="226">
      <c r="A226" s="20" t="inlineStr">
        <is>
          <t>2022/23</t>
        </is>
      </c>
      <c r="B226" s="51" t="n">
        <v>44805</v>
      </c>
      <c r="C226" s="20" t="inlineStr">
        <is>
          <t>September</t>
        </is>
      </c>
      <c r="D226" s="9" t="n">
        <v>3062.901</v>
      </c>
      <c r="E226" s="9" t="n">
        <v>1785.76</v>
      </c>
      <c r="F226" s="9" t="n">
        <v>1782.74726</v>
      </c>
      <c r="G226" s="9" t="n">
        <v>0</v>
      </c>
      <c r="H226" s="9" t="n">
        <v>3046.779</v>
      </c>
      <c r="I226" s="9" t="n">
        <v>1842.95</v>
      </c>
      <c r="J226" s="9" t="n">
        <v>182.99656</v>
      </c>
    </row>
    <row r="227">
      <c r="A227" s="20" t="inlineStr">
        <is>
          <t>2022/23</t>
        </is>
      </c>
      <c r="B227" s="51" t="n">
        <v>44835</v>
      </c>
      <c r="C227" s="20" t="inlineStr">
        <is>
          <t>October</t>
        </is>
      </c>
      <c r="D227" s="9" t="n">
        <v>1383.457</v>
      </c>
      <c r="E227" s="9" t="n">
        <v>2007.043</v>
      </c>
      <c r="F227" s="9" t="n">
        <v>1952.340523</v>
      </c>
      <c r="G227" s="9" t="n">
        <v>0.162</v>
      </c>
      <c r="H227" s="9" t="n">
        <v>2995.503</v>
      </c>
      <c r="I227" s="9" t="n">
        <v>2548.145</v>
      </c>
      <c r="J227" s="9" t="n">
        <v>65.68431</v>
      </c>
    </row>
    <row r="228">
      <c r="A228" s="20" t="inlineStr">
        <is>
          <t>2022/23</t>
        </is>
      </c>
      <c r="B228" s="51" t="n">
        <v>44866</v>
      </c>
      <c r="C228" s="20" t="inlineStr">
        <is>
          <t>November</t>
        </is>
      </c>
      <c r="D228" s="9" t="n">
        <v>1138.828</v>
      </c>
      <c r="E228" s="9" t="n">
        <v>1773.357</v>
      </c>
      <c r="F228" s="9" t="n">
        <v>1767.096372</v>
      </c>
      <c r="G228" s="9" t="n">
        <v>71.95904</v>
      </c>
      <c r="H228" s="9" t="n">
        <v>2485.783</v>
      </c>
      <c r="I228" s="9" t="n">
        <v>2617.317</v>
      </c>
      <c r="J228" s="9" t="n">
        <v>0.375</v>
      </c>
    </row>
    <row r="229">
      <c r="A229" s="20" t="inlineStr">
        <is>
          <t>2022/23</t>
        </is>
      </c>
      <c r="B229" s="51" t="n">
        <v>44896</v>
      </c>
      <c r="C229" s="20" t="inlineStr">
        <is>
          <t>December</t>
        </is>
      </c>
      <c r="D229" s="9" t="n">
        <v>1130.179</v>
      </c>
      <c r="E229" s="9" t="n">
        <v>2666.18</v>
      </c>
      <c r="F229" s="9" t="n">
        <v>1642.772089</v>
      </c>
      <c r="G229" s="9" t="n">
        <v>530.094974</v>
      </c>
      <c r="H229" s="9" t="n">
        <v>2462.145</v>
      </c>
      <c r="I229" s="9" t="n">
        <v>1935.503</v>
      </c>
      <c r="J229" s="9" t="n">
        <v>0.391</v>
      </c>
    </row>
    <row r="230">
      <c r="A230" s="20" t="inlineStr">
        <is>
          <t>2022/23</t>
        </is>
      </c>
      <c r="B230" s="51" t="n">
        <v>44927</v>
      </c>
      <c r="C230" s="20" t="inlineStr">
        <is>
          <t>January</t>
        </is>
      </c>
      <c r="D230" s="9" t="n">
        <v>1795.048</v>
      </c>
      <c r="E230" s="9" t="n">
        <v>3246.697</v>
      </c>
      <c r="F230" s="9" t="n">
        <v>1321.349683</v>
      </c>
      <c r="G230" s="9" t="n">
        <v>561.519269</v>
      </c>
      <c r="H230" s="9" t="n">
        <v>2152.86</v>
      </c>
      <c r="I230" s="9" t="n">
        <v>2641.283</v>
      </c>
      <c r="J230" s="9" t="n">
        <v>0.075</v>
      </c>
    </row>
    <row r="231">
      <c r="A231" s="20" t="inlineStr">
        <is>
          <t>2022/23</t>
        </is>
      </c>
      <c r="B231" s="51" t="n">
        <v>44958</v>
      </c>
      <c r="C231" s="20" t="inlineStr">
        <is>
          <t>February</t>
        </is>
      </c>
      <c r="D231" s="9" t="n">
        <v>1891.14</v>
      </c>
      <c r="E231" s="9" t="n">
        <v>3059.82</v>
      </c>
      <c r="F231" s="9" t="n">
        <v>1607.039869</v>
      </c>
      <c r="G231" s="9" t="n">
        <v>533.4171710000001</v>
      </c>
      <c r="H231" s="9" t="n">
        <v>2032.932</v>
      </c>
      <c r="I231" s="9" t="n">
        <v>2019.368</v>
      </c>
      <c r="J231" s="9" t="n">
        <v>19.560935</v>
      </c>
    </row>
    <row r="232">
      <c r="A232" s="20" t="inlineStr">
        <is>
          <t>2022/23</t>
        </is>
      </c>
      <c r="B232" s="51" t="n">
        <v>44986</v>
      </c>
      <c r="C232" s="20" t="inlineStr">
        <is>
          <t>March</t>
        </is>
      </c>
      <c r="D232" s="9" t="n">
        <v>1384.959</v>
      </c>
      <c r="E232" s="9" t="n">
        <v>3766.043</v>
      </c>
      <c r="F232" s="9" t="n">
        <v>1648.625293</v>
      </c>
      <c r="G232" s="9" t="n">
        <v>607.685071</v>
      </c>
      <c r="H232" s="9" t="n">
        <v>2402.313</v>
      </c>
      <c r="I232" s="9" t="n">
        <v>2587.876</v>
      </c>
      <c r="J232" s="9" t="n">
        <v>19.238251</v>
      </c>
    </row>
    <row r="233">
      <c r="A233" s="20" t="inlineStr">
        <is>
          <t>2022/23</t>
        </is>
      </c>
      <c r="B233" s="51" t="n">
        <v>45017</v>
      </c>
      <c r="C233" s="20" t="inlineStr">
        <is>
          <t>April</t>
        </is>
      </c>
      <c r="D233" s="9" t="n">
        <v>1437.841</v>
      </c>
      <c r="E233" s="9" t="n">
        <v>3045.833</v>
      </c>
      <c r="F233" s="9" t="n">
        <v>1400.992491</v>
      </c>
      <c r="G233" s="9" t="n">
        <v>280.538079</v>
      </c>
      <c r="H233" s="9" t="n">
        <v>2906.257</v>
      </c>
      <c r="I233" s="9" t="n">
        <v>2432.54</v>
      </c>
      <c r="J233" s="9" t="n">
        <v>1.631195</v>
      </c>
    </row>
    <row r="234">
      <c r="A234" s="20" t="inlineStr">
        <is>
          <t>2022/23</t>
        </is>
      </c>
      <c r="B234" s="51" t="n">
        <v>45047</v>
      </c>
      <c r="C234" s="20" t="inlineStr">
        <is>
          <t>May</t>
        </is>
      </c>
      <c r="D234" s="9" t="n">
        <v>1474.617</v>
      </c>
      <c r="E234" s="9" t="n">
        <v>3308.904</v>
      </c>
      <c r="F234" s="9" t="n">
        <v>1109.531367</v>
      </c>
      <c r="G234" s="9" t="n">
        <v>68.141381</v>
      </c>
      <c r="H234" s="9" t="n">
        <v>2722.313</v>
      </c>
      <c r="I234" s="9" t="n">
        <v>1662.939</v>
      </c>
      <c r="J234" s="9" t="n">
        <v>1.380362</v>
      </c>
    </row>
    <row r="235">
      <c r="A235" s="20" t="inlineStr">
        <is>
          <t>2022/23</t>
        </is>
      </c>
      <c r="B235" s="51" t="n">
        <v>45078</v>
      </c>
      <c r="C235" s="20" t="inlineStr">
        <is>
          <t>June</t>
        </is>
      </c>
      <c r="D235" s="9" t="n">
        <v>1116.858</v>
      </c>
      <c r="E235" s="9" t="n">
        <v>2559.03</v>
      </c>
      <c r="F235" s="9" t="n">
        <v>1385.183589</v>
      </c>
      <c r="G235" s="9" t="n">
        <v>0</v>
      </c>
      <c r="H235" s="9" t="n">
        <v>2358.263</v>
      </c>
      <c r="I235" s="9" t="n">
        <v>1808.522</v>
      </c>
      <c r="J235" s="9" t="n">
        <v>1.374815</v>
      </c>
    </row>
    <row r="236">
      <c r="A236" s="20" t="inlineStr">
        <is>
          <t>2023/24</t>
        </is>
      </c>
      <c r="B236" s="51" t="n">
        <v>45108</v>
      </c>
      <c r="C236" s="20" t="inlineStr">
        <is>
          <t>July</t>
        </is>
      </c>
      <c r="D236" s="9" t="n">
        <v>1708.4</v>
      </c>
      <c r="E236" s="9" t="n">
        <v>2683.102</v>
      </c>
      <c r="F236" s="9" t="n">
        <v>821.39738</v>
      </c>
      <c r="G236" s="9" t="n">
        <v>4.7e-05</v>
      </c>
      <c r="H236" s="9" t="n">
        <v>3149.357</v>
      </c>
      <c r="I236" s="9" t="n">
        <v>1893.876</v>
      </c>
      <c r="J236" s="9" t="n">
        <v>7.24525</v>
      </c>
    </row>
    <row r="237">
      <c r="A237" s="20" t="inlineStr">
        <is>
          <t>2023/24</t>
        </is>
      </c>
      <c r="B237" s="51" t="n">
        <v>45139</v>
      </c>
      <c r="C237" s="20" t="inlineStr">
        <is>
          <t>August</t>
        </is>
      </c>
      <c r="D237" s="9" t="n">
        <v>1435.738</v>
      </c>
      <c r="E237" s="9" t="n">
        <v>2182.494</v>
      </c>
      <c r="F237" s="9" t="n">
        <v>1205.036176</v>
      </c>
      <c r="G237" s="9" t="n">
        <v>0.18901</v>
      </c>
      <c r="H237" s="9" t="n">
        <v>2428.014</v>
      </c>
      <c r="I237" s="9" t="n">
        <v>1540.218</v>
      </c>
      <c r="J237" s="9" t="n">
        <v>41.298082</v>
      </c>
    </row>
    <row r="238">
      <c r="A238" s="20" t="inlineStr">
        <is>
          <t>2023/24</t>
        </is>
      </c>
      <c r="B238" s="51" t="n">
        <v>45170</v>
      </c>
      <c r="C238" s="20" t="inlineStr">
        <is>
          <t>September</t>
        </is>
      </c>
      <c r="D238" s="9" t="n">
        <v>1874.952</v>
      </c>
      <c r="E238" s="9" t="n">
        <v>1493.796</v>
      </c>
      <c r="F238" s="9" t="n">
        <v>1309.345394</v>
      </c>
      <c r="G238" s="9" t="n">
        <v>0</v>
      </c>
      <c r="H238" s="9" t="n">
        <v>3334.771</v>
      </c>
      <c r="I238" s="9" t="n">
        <v>2207.463</v>
      </c>
      <c r="J238" s="9" t="n">
        <v>19.115783</v>
      </c>
    </row>
    <row r="239">
      <c r="A239" s="20" t="inlineStr">
        <is>
          <t>2023/24</t>
        </is>
      </c>
      <c r="B239" s="51" t="n">
        <v>45200</v>
      </c>
      <c r="C239" s="20" t="inlineStr">
        <is>
          <t>October</t>
        </is>
      </c>
      <c r="D239" s="9" t="n">
        <v>1032.891</v>
      </c>
      <c r="E239" s="9" t="n">
        <v>1411.018</v>
      </c>
      <c r="F239" s="9" t="n">
        <v>1294.790407</v>
      </c>
      <c r="G239" s="9" t="n">
        <v>7.350004</v>
      </c>
      <c r="H239" s="9" t="n">
        <v>3118.612</v>
      </c>
      <c r="I239" s="9" t="n">
        <v>2351.749</v>
      </c>
      <c r="J239" s="9" t="n">
        <v>7.27328</v>
      </c>
    </row>
    <row r="240">
      <c r="A240" s="20" t="inlineStr">
        <is>
          <t>2023/24</t>
        </is>
      </c>
      <c r="B240" s="51" t="n">
        <v>45231</v>
      </c>
      <c r="C240" s="20" t="inlineStr">
        <is>
          <t>November</t>
        </is>
      </c>
      <c r="D240" s="9" t="n">
        <v>1162.335</v>
      </c>
      <c r="E240" s="9" t="n">
        <v>1129.677</v>
      </c>
      <c r="F240" s="9" t="n">
        <v>1278.2356</v>
      </c>
      <c r="G240" s="9" t="n">
        <v>0</v>
      </c>
      <c r="H240" s="9" t="n">
        <v>2866.585</v>
      </c>
      <c r="I240" s="9" t="n">
        <v>2338.362</v>
      </c>
      <c r="J240" s="9" t="n">
        <v>16.939095</v>
      </c>
    </row>
    <row r="241">
      <c r="A241" s="20" t="inlineStr">
        <is>
          <t>2023/24</t>
        </is>
      </c>
      <c r="B241" s="51" t="n">
        <v>45261</v>
      </c>
      <c r="C241" s="20" t="inlineStr">
        <is>
          <t>December</t>
        </is>
      </c>
      <c r="D241" s="9" t="n">
        <v>1469.346</v>
      </c>
      <c r="E241" s="9" t="n">
        <v>1381.387</v>
      </c>
      <c r="F241" s="9" t="n">
        <v>1714.60241</v>
      </c>
      <c r="G241" s="9" t="n">
        <v>295.320805</v>
      </c>
      <c r="H241" s="9" t="n">
        <v>3329.364</v>
      </c>
      <c r="I241" s="9" t="n">
        <v>2107.384</v>
      </c>
      <c r="J241" s="9" t="n">
        <v>22.222175</v>
      </c>
    </row>
    <row r="242">
      <c r="A242" s="20" t="inlineStr">
        <is>
          <t>2023/24</t>
        </is>
      </c>
      <c r="B242" s="51" t="n">
        <v>45292</v>
      </c>
      <c r="C242" s="20" t="inlineStr">
        <is>
          <t>January</t>
        </is>
      </c>
      <c r="D242" s="9" t="n">
        <v>1401.739</v>
      </c>
      <c r="E242" s="9" t="n">
        <v>2619.318</v>
      </c>
      <c r="F242" s="9" t="n">
        <v>1601.852052</v>
      </c>
      <c r="G242" s="9" t="n">
        <v>935.031281</v>
      </c>
      <c r="H242" s="9" t="n">
        <v>3605.828</v>
      </c>
      <c r="I242" s="9" t="n">
        <v>1914.001</v>
      </c>
      <c r="J242" s="9" t="n">
        <v>25.70639</v>
      </c>
    </row>
    <row r="243">
      <c r="A243" s="20" t="inlineStr">
        <is>
          <t>2023/24</t>
        </is>
      </c>
      <c r="B243" s="51" t="n">
        <v>45323</v>
      </c>
      <c r="C243" s="20" t="inlineStr">
        <is>
          <t>February</t>
        </is>
      </c>
      <c r="D243" s="9" t="n">
        <v>1828.984</v>
      </c>
      <c r="E243" s="9" t="n">
        <v>2292.733</v>
      </c>
      <c r="F243" s="9" t="n">
        <v>2555.648237</v>
      </c>
      <c r="G243" s="9" t="n">
        <v>274.200715</v>
      </c>
      <c r="H243" s="9" t="n">
        <v>3101.277</v>
      </c>
      <c r="I243" s="9" t="n">
        <v>2132.168</v>
      </c>
      <c r="J243" s="9" t="n">
        <v>35.419468</v>
      </c>
    </row>
    <row r="244">
      <c r="A244" s="20" t="inlineStr">
        <is>
          <t>2023/24</t>
        </is>
      </c>
      <c r="B244" s="51" t="n">
        <v>45352</v>
      </c>
      <c r="C244" s="20" t="inlineStr">
        <is>
          <t>March</t>
        </is>
      </c>
      <c r="D244" s="9" t="n">
        <v>2052.571</v>
      </c>
      <c r="E244" s="9" t="n">
        <v>2568.952</v>
      </c>
      <c r="F244" s="9" t="n">
        <v>2070.059683</v>
      </c>
      <c r="G244" s="9" t="n">
        <v>830.254375</v>
      </c>
      <c r="H244" s="9" t="n">
        <v>3210.581</v>
      </c>
      <c r="I244" s="9" t="n">
        <v>1994.699</v>
      </c>
      <c r="J244" s="9" t="n">
        <v>8.470062</v>
      </c>
    </row>
    <row r="245">
      <c r="A245" s="20" t="inlineStr">
        <is>
          <t>2023/24</t>
        </is>
      </c>
      <c r="B245" s="51" t="n">
        <v>45383</v>
      </c>
      <c r="C245" s="20" t="inlineStr">
        <is>
          <t>April</t>
        </is>
      </c>
      <c r="D245" s="9" t="n">
        <v>1931.299</v>
      </c>
      <c r="E245" s="9" t="n">
        <v>1849.646</v>
      </c>
      <c r="F245" s="9" t="n">
        <v>1936.038716</v>
      </c>
      <c r="G245" s="9" t="n">
        <v>362.619086</v>
      </c>
      <c r="H245" s="9" t="n">
        <v>2465.46</v>
      </c>
      <c r="I245" s="9" t="n">
        <v>2828.813</v>
      </c>
      <c r="J245" s="9" t="n">
        <v>0.361285</v>
      </c>
    </row>
    <row r="246">
      <c r="A246" s="20" t="inlineStr">
        <is>
          <t>2023/24</t>
        </is>
      </c>
      <c r="B246" s="51" t="n">
        <v>45413</v>
      </c>
      <c r="C246" s="20" t="inlineStr">
        <is>
          <t>May</t>
        </is>
      </c>
      <c r="D246" s="9" t="n">
        <v>1544.115</v>
      </c>
      <c r="E246" s="9" t="n">
        <v>1592.037</v>
      </c>
      <c r="F246" s="9" t="n">
        <v>1650.536031</v>
      </c>
      <c r="G246" s="9" t="n">
        <v>55.018763</v>
      </c>
      <c r="H246" s="9" t="n">
        <v>2326.89</v>
      </c>
      <c r="I246" s="9" t="n">
        <v>2115.676</v>
      </c>
      <c r="J246" s="9" t="n">
        <v>2e-06</v>
      </c>
    </row>
    <row r="247">
      <c r="A247" s="20" t="inlineStr">
        <is>
          <t>2023/24</t>
        </is>
      </c>
      <c r="B247" s="51" t="n">
        <v>45444</v>
      </c>
      <c r="C247" s="20" t="inlineStr">
        <is>
          <t>June</t>
        </is>
      </c>
      <c r="D247" s="9" t="n">
        <v>1515.592</v>
      </c>
      <c r="E247" s="9" t="n">
        <v>1248.723</v>
      </c>
      <c r="F247" s="9" t="n">
        <v>977.1021490000001</v>
      </c>
      <c r="G247" s="9" t="n">
        <v>25.873122</v>
      </c>
      <c r="H247" s="9" t="n">
        <v>2635.668</v>
      </c>
      <c r="I247" s="9" t="n">
        <v>1819.432</v>
      </c>
      <c r="J247" s="9" t="n">
        <v>0.66665</v>
      </c>
    </row>
    <row r="248">
      <c r="A248" s="20" t="inlineStr">
        <is>
          <t>2024/25</t>
        </is>
      </c>
      <c r="B248" s="51" t="n">
        <v>45474</v>
      </c>
      <c r="C248" s="20" t="inlineStr">
        <is>
          <t>July</t>
        </is>
      </c>
      <c r="D248" s="9" t="n">
        <v>1881.321</v>
      </c>
      <c r="E248" s="9" t="n">
        <v>1475.357</v>
      </c>
      <c r="F248" s="9" t="n">
        <v>1546.021675</v>
      </c>
      <c r="G248" s="9" t="n">
        <v>5.08848</v>
      </c>
      <c r="H248" s="9" t="n">
        <v>2997.844</v>
      </c>
      <c r="I248" s="9" t="n">
        <v>1659.154</v>
      </c>
      <c r="J248" s="9" t="n">
        <v>0.12435</v>
      </c>
    </row>
    <row r="249">
      <c r="A249" s="20" t="inlineStr">
        <is>
          <t>2024/25</t>
        </is>
      </c>
      <c r="B249" s="51" t="n">
        <v>45505</v>
      </c>
      <c r="C249" s="20" t="inlineStr">
        <is>
          <t>August</t>
        </is>
      </c>
      <c r="D249" s="9" t="n">
        <v>2492.096</v>
      </c>
      <c r="E249" s="9" t="n">
        <v>1202.023</v>
      </c>
      <c r="F249" s="9" t="n">
        <v>2237.207839</v>
      </c>
      <c r="G249" s="9" t="n">
        <v>0</v>
      </c>
      <c r="H249" s="9" t="n">
        <v>2627.099</v>
      </c>
      <c r="I249" s="9" t="n">
        <v>1628.755</v>
      </c>
      <c r="J249" s="9" t="n">
        <v>0.350221</v>
      </c>
    </row>
    <row r="250">
      <c r="A250" s="20" t="inlineStr">
        <is>
          <t>2024/25</t>
        </is>
      </c>
      <c r="B250" s="51" t="n">
        <v>45536</v>
      </c>
      <c r="C250" s="20" t="inlineStr">
        <is>
          <t>September</t>
        </is>
      </c>
      <c r="D250" s="9" t="n">
        <v>2490.76</v>
      </c>
      <c r="E250" s="9" t="n">
        <v>961.7430000000001</v>
      </c>
      <c r="F250" s="9" t="n">
        <v>2315.393552</v>
      </c>
      <c r="G250" s="9" t="n">
        <v>8.000000000000001e-05</v>
      </c>
      <c r="H250" s="9" t="n">
        <v>2102.292</v>
      </c>
      <c r="I250" s="9" t="n">
        <v>1654.17</v>
      </c>
      <c r="J250" s="9" t="n">
        <v>0.054</v>
      </c>
    </row>
    <row r="251">
      <c r="A251" s="20" t="inlineStr">
        <is>
          <t>2024/25</t>
        </is>
      </c>
      <c r="B251" s="51" t="n">
        <v>45566</v>
      </c>
      <c r="C251" s="20" t="inlineStr">
        <is>
          <t>October</t>
        </is>
      </c>
      <c r="D251" s="9" t="n">
        <v>1377.124</v>
      </c>
      <c r="E251" s="9" t="n">
        <v>1135.579</v>
      </c>
      <c r="F251" s="9" t="n">
        <v>1643.621831</v>
      </c>
      <c r="G251" s="9" t="n">
        <v>2.7e-05</v>
      </c>
      <c r="H251" s="9" t="n">
        <v>2121.765</v>
      </c>
      <c r="I251" s="9" t="n">
        <v>2677.67</v>
      </c>
      <c r="J251" s="9" t="n">
        <v>0</v>
      </c>
    </row>
    <row r="252">
      <c r="A252" s="20" t="inlineStr">
        <is>
          <t>2024/25</t>
        </is>
      </c>
      <c r="B252" s="51" t="n">
        <v>45597</v>
      </c>
      <c r="C252" s="20" t="inlineStr">
        <is>
          <t>November</t>
        </is>
      </c>
      <c r="D252" s="9" t="n">
        <v>1213.476</v>
      </c>
      <c r="E252" s="9" t="n">
        <v>576.881</v>
      </c>
      <c r="F252" s="9" t="n">
        <v>1329.628709</v>
      </c>
      <c r="G252" s="9" t="n">
        <v>0.010003</v>
      </c>
      <c r="H252" s="9" t="n">
        <v>2115.937</v>
      </c>
      <c r="I252" s="9" t="n">
        <v>2413.916</v>
      </c>
      <c r="J252" s="9" t="n">
        <v>0</v>
      </c>
    </row>
    <row r="253">
      <c r="A253" s="20" t="inlineStr">
        <is>
          <t>2024/25</t>
        </is>
      </c>
      <c r="B253" s="51" t="n">
        <v>45627</v>
      </c>
      <c r="C253" s="20" t="inlineStr">
        <is>
          <t>December</t>
        </is>
      </c>
      <c r="D253" s="9" t="n">
        <v>1729.056</v>
      </c>
      <c r="E253" s="9" t="n">
        <v>2147.045</v>
      </c>
      <c r="F253" s="9" t="n">
        <v>800.614094</v>
      </c>
      <c r="G253" s="9" t="n">
        <v>344.244596</v>
      </c>
      <c r="H253" s="9" t="n">
        <v>1594.027</v>
      </c>
      <c r="I253" s="9" t="n">
        <v>2688.108</v>
      </c>
      <c r="J253" s="9" t="n">
        <v>0</v>
      </c>
    </row>
    <row r="254">
      <c r="A254" s="20" t="inlineStr">
        <is>
          <t>2024/25</t>
        </is>
      </c>
      <c r="B254" s="51" t="n">
        <v>45658</v>
      </c>
      <c r="C254" s="20" t="inlineStr">
        <is>
          <t>January</t>
        </is>
      </c>
      <c r="D254" s="9" t="n">
        <v>1313.424</v>
      </c>
      <c r="E254" s="9" t="n">
        <v>1796.712</v>
      </c>
      <c r="F254" s="9" t="n">
        <v>888.659705</v>
      </c>
      <c r="G254" s="9" t="n">
        <v>551.678987</v>
      </c>
      <c r="H254" s="9" t="n">
        <v>1641.425</v>
      </c>
      <c r="I254" s="9" t="n">
        <v>2605.236</v>
      </c>
      <c r="J254" s="9" t="n">
        <v>0.022006</v>
      </c>
    </row>
    <row r="255">
      <c r="A255" s="20" t="inlineStr">
        <is>
          <t>2024/25</t>
        </is>
      </c>
      <c r="B255" s="51" t="n">
        <v>45689</v>
      </c>
      <c r="C255" s="20" t="inlineStr">
        <is>
          <t>February</t>
        </is>
      </c>
      <c r="D255" s="9" t="n">
        <v>1764.844</v>
      </c>
      <c r="E255" s="9" t="n">
        <v>2113.79</v>
      </c>
      <c r="F255" s="9" t="n">
        <v>1179.183401</v>
      </c>
      <c r="G255" s="9" t="n">
        <v>628.328813</v>
      </c>
      <c r="H255" s="9" t="n">
        <v>2005.853</v>
      </c>
      <c r="I255" s="9" t="n">
        <v>1765.621</v>
      </c>
      <c r="J255" s="9" t="n">
        <v>0.27502</v>
      </c>
    </row>
    <row r="256">
      <c r="A256" s="20" t="inlineStr">
        <is>
          <t>2024/25</t>
        </is>
      </c>
      <c r="B256" s="51" t="n">
        <v>45717</v>
      </c>
      <c r="C256" s="20" t="inlineStr">
        <is>
          <t>March</t>
        </is>
      </c>
      <c r="D256" s="9" t="n">
        <v>1799.054</v>
      </c>
      <c r="E256" s="9" t="n">
        <v>2110.867</v>
      </c>
      <c r="F256" s="9" t="n">
        <v>1129.722714</v>
      </c>
      <c r="G256" s="9" t="n">
        <v>246.897625</v>
      </c>
      <c r="H256" s="9" t="n">
        <v>2191.609</v>
      </c>
      <c r="I256" s="9" t="n">
        <v>2671.662</v>
      </c>
      <c r="J256" s="9" t="n">
        <v>0.8172</v>
      </c>
    </row>
    <row r="257">
      <c r="A257" s="20" t="inlineStr">
        <is>
          <t>2024/25</t>
        </is>
      </c>
      <c r="B257" s="51" t="n">
        <v>45748</v>
      </c>
      <c r="C257" s="20" t="inlineStr">
        <is>
          <t>April</t>
        </is>
      </c>
      <c r="D257" s="9" t="n">
        <v>2197.983</v>
      </c>
      <c r="E257" s="9" t="n">
        <v>2587.044</v>
      </c>
      <c r="F257" s="9" t="n">
        <v>771.388301</v>
      </c>
      <c r="G257" s="9" t="n">
        <v>101.309766</v>
      </c>
      <c r="H257" s="9" t="n">
        <v>2217.209</v>
      </c>
      <c r="I257" s="9" t="n">
        <v>2821.517</v>
      </c>
      <c r="J257" s="9" t="n">
        <v>0.098</v>
      </c>
    </row>
    <row r="258">
      <c r="A258" s="20" t="inlineStr">
        <is>
          <t>2024/25</t>
        </is>
      </c>
      <c r="B258" s="51" t="n">
        <v>45778</v>
      </c>
      <c r="C258" s="20" t="inlineStr">
        <is>
          <t>May</t>
        </is>
      </c>
      <c r="D258" s="9" t="n">
        <v>2160.656</v>
      </c>
      <c r="E258" s="9" t="n">
        <v>2594.621</v>
      </c>
      <c r="F258" s="9" t="n">
        <v>959.7699689999999</v>
      </c>
      <c r="G258" s="9" t="n">
        <v>8.8e-05</v>
      </c>
      <c r="H258" s="9" t="n">
        <v>2037.275</v>
      </c>
      <c r="I258" s="9" t="n">
        <v>2944.132</v>
      </c>
      <c r="J258" s="9" t="n">
        <v>0.25</v>
      </c>
    </row>
    <row r="259">
      <c r="A259" s="20" t="inlineStr">
        <is>
          <t>2025/26</t>
        </is>
      </c>
      <c r="B259" s="51" t="n">
        <v>45809</v>
      </c>
      <c r="C259" s="20" t="inlineStr">
        <is>
          <t>June</t>
        </is>
      </c>
      <c r="D259" s="9" t="n">
        <v>1719.473</v>
      </c>
      <c r="E259" s="9" t="n">
        <v>2396.806</v>
      </c>
      <c r="F259" s="9" t="n">
        <v>825.471399</v>
      </c>
      <c r="G259" s="9" t="n">
        <v>0</v>
      </c>
      <c r="H259" s="9" t="n">
        <v>1643.936</v>
      </c>
      <c r="I259" s="9" t="n">
        <v>2616.419</v>
      </c>
      <c r="J259" s="9" t="n">
        <v>0.000526</v>
      </c>
    </row>
    <row r="260">
      <c r="A260" s="20" t="inlineStr">
        <is>
          <t>2025/26</t>
        </is>
      </c>
      <c r="B260" s="51" t="n">
        <v>45839</v>
      </c>
      <c r="C260" s="20" t="inlineStr">
        <is>
          <t>July</t>
        </is>
      </c>
      <c r="D260" s="9" t="n">
        <v>2304.939</v>
      </c>
      <c r="E260" s="9" t="n">
        <v>2272.178</v>
      </c>
      <c r="F260" s="9" t="n">
        <v>732.813233</v>
      </c>
      <c r="G260" s="9" t="n">
        <v>3.7e-05</v>
      </c>
      <c r="H260" s="9" t="n">
        <v>2272.395</v>
      </c>
      <c r="I260" s="9" t="n">
        <v>2428.005</v>
      </c>
      <c r="J260" s="9" t="n">
        <v>4e-06</v>
      </c>
    </row>
    <row r="261">
      <c r="A261" s="20" t="inlineStr">
        <is>
          <t>2025/26</t>
        </is>
      </c>
      <c r="B261" s="51" t="n">
        <v>45870</v>
      </c>
      <c r="C261" s="20" t="inlineStr">
        <is>
          <t>August</t>
        </is>
      </c>
      <c r="D261" s="9" t="n">
        <v>2692.46</v>
      </c>
      <c r="E261" s="9" t="n">
        <v>1861.021</v>
      </c>
      <c r="F261" s="9" t="n">
        <v>1890.935996</v>
      </c>
      <c r="G261" s="9" t="n">
        <v>4e-05</v>
      </c>
      <c r="H261" s="9" t="n">
        <v>3002.793</v>
      </c>
      <c r="I261" s="9" t="n">
        <v>1341.804</v>
      </c>
      <c r="J261" s="9" t="n">
        <v>2.054228</v>
      </c>
    </row>
    <row r="262">
      <c r="A262" s="20" t="inlineStr">
        <is>
          <t>2025/26</t>
        </is>
      </c>
      <c r="B262" s="51" t="n">
        <v>45901</v>
      </c>
      <c r="C262" s="20" t="inlineStr">
        <is>
          <t>September</t>
        </is>
      </c>
      <c r="D262" s="9" t="n">
        <v>3230.026</v>
      </c>
      <c r="E262" s="9" t="n">
        <v>1890.194</v>
      </c>
      <c r="F262" s="9" t="n">
        <v>2094.383613</v>
      </c>
      <c r="G262" s="9" t="n">
        <v>1.6e-05</v>
      </c>
      <c r="H262" s="9" t="n">
        <v>3149.162</v>
      </c>
      <c r="I262" s="9" t="n">
        <v>2154.863</v>
      </c>
      <c r="J262" s="9" t="n">
        <v>7.147013</v>
      </c>
    </row>
    <row r="263">
      <c r="A263" s="20" t="inlineStr">
        <is>
          <t>2025/26</t>
        </is>
      </c>
      <c r="B263" s="51" t="n">
        <v>45931</v>
      </c>
      <c r="C263" s="20" t="inlineStr">
        <is>
          <t>October</t>
        </is>
      </c>
      <c r="D263" s="9" t="n">
        <v>1964.182</v>
      </c>
      <c r="E263" s="9" t="n">
        <v>1748.131</v>
      </c>
      <c r="F263" s="9" t="n">
        <v>1480.383185</v>
      </c>
      <c r="G263" s="9" t="n">
        <v>0</v>
      </c>
      <c r="H263" s="9" t="n">
        <v>2529.802</v>
      </c>
      <c r="I263" s="9" t="n">
        <v>2852.293</v>
      </c>
      <c r="J263" s="9" t="n">
        <v>2.444639</v>
      </c>
    </row>
    <row r="264">
      <c r="A264" s="20" t="inlineStr">
        <is>
          <t>2025/26</t>
        </is>
      </c>
      <c r="B264" s="51" t="n">
        <v>45962</v>
      </c>
      <c r="C264" s="20" t="inlineStr">
        <is>
          <t>November</t>
        </is>
      </c>
      <c r="D264" s="9" t="n">
        <v>1616.514</v>
      </c>
      <c r="E264" s="9" t="n">
        <v>1079.585</v>
      </c>
      <c r="F264" s="9" t="n">
        <v>1076.258325</v>
      </c>
      <c r="G264" s="9" t="n">
        <v>116.160656</v>
      </c>
      <c r="H264" s="9" t="n">
        <v>2230.427</v>
      </c>
      <c r="I264" s="9" t="n">
        <v>2679.245</v>
      </c>
      <c r="J264" s="9" t="n">
        <v>2.438484</v>
      </c>
    </row>
    <row r="265">
      <c r="A265" s="20" t="inlineStr">
        <is>
          <t>2025/26</t>
        </is>
      </c>
      <c r="B265" s="51" t="n">
        <v>45992</v>
      </c>
      <c r="C265" s="20" t="inlineStr">
        <is>
          <t>December</t>
        </is>
      </c>
      <c r="D265" s="9" t="n">
        <v>1900.935</v>
      </c>
      <c r="E265" s="9" t="n">
        <v>2283.076</v>
      </c>
      <c r="F265" s="9" t="n">
        <v>586.34569</v>
      </c>
      <c r="G265" s="9" t="n">
        <v>639.703575</v>
      </c>
      <c r="H265" s="9" t="n">
        <v>2246.692</v>
      </c>
      <c r="I265" s="9" t="n">
        <v>2889.984</v>
      </c>
      <c r="J265" s="9" t="n">
        <v>1.740269</v>
      </c>
    </row>
    <row r="266">
      <c r="A266" s="20" t="inlineStr">
        <is>
          <t>2025/26</t>
        </is>
      </c>
      <c r="B266" s="51" t="n">
        <v>46023</v>
      </c>
      <c r="C266" s="20" t="inlineStr">
        <is>
          <t>January</t>
        </is>
      </c>
      <c r="D266" s="9" t="n">
        <v>1529.337</v>
      </c>
      <c r="E266" s="9" t="n">
        <v>2600.177</v>
      </c>
      <c r="F266" s="9" t="n">
        <v>536.2042719999999</v>
      </c>
      <c r="G266" s="9" t="n">
        <v>370.583516</v>
      </c>
      <c r="H266" s="9" t="n">
        <v>2184.079</v>
      </c>
      <c r="I266" s="9" t="n">
        <v>2303.003</v>
      </c>
      <c r="J266" s="9" t="n">
        <v>1.811889</v>
      </c>
    </row>
    <row r="267">
      <c r="A267" s="20" t="inlineStr">
        <is>
          <t>2025/26</t>
        </is>
      </c>
      <c r="B267" s="51" t="n">
        <v>46054</v>
      </c>
      <c r="C267" s="20" t="inlineStr">
        <is>
          <t>February</t>
        </is>
      </c>
      <c r="D267" s="9" t="n">
        <v>1937.521</v>
      </c>
      <c r="E267" s="9" t="n">
        <v>2110.032</v>
      </c>
      <c r="F267" s="9" t="n">
        <v>637.917153</v>
      </c>
      <c r="G267" s="9" t="n">
        <v>226.706064</v>
      </c>
      <c r="H267" s="52" t="n"/>
      <c r="I267" s="9" t="n">
        <v>2092.742</v>
      </c>
      <c r="J267" s="20" t="n"/>
    </row>
    <row r="268">
      <c r="A268" s="20" t="inlineStr">
        <is>
          <t>2025/26</t>
        </is>
      </c>
      <c r="B268" s="51" t="n">
        <v>46082</v>
      </c>
      <c r="C268" s="20" t="inlineStr">
        <is>
          <t>March</t>
        </is>
      </c>
      <c r="D268" s="9" t="n">
        <v>1821.274</v>
      </c>
      <c r="E268" s="20" t="n"/>
      <c r="F268" s="9" t="n">
        <v>868.573587</v>
      </c>
      <c r="G268" s="9" t="n">
        <v>447.380761</v>
      </c>
      <c r="H268" s="52" t="n"/>
      <c r="I268" s="9" t="n"/>
      <c r="J268" s="20" t="n"/>
    </row>
    <row r="269">
      <c r="A269" s="20" t="inlineStr">
        <is>
          <t>2025/27</t>
        </is>
      </c>
      <c r="B269" s="51" t="n">
        <v>46113</v>
      </c>
      <c r="C269" s="20" t="inlineStr">
        <is>
          <t>April</t>
        </is>
      </c>
      <c r="D269" s="19" t="n">
        <v>1746</v>
      </c>
      <c r="E269" s="62" t="n"/>
      <c r="F269" s="19" t="n">
        <v>892</v>
      </c>
      <c r="G269" s="19" t="n"/>
      <c r="H269" s="63" t="n"/>
      <c r="I269" s="19" t="n"/>
      <c r="J269" s="62" t="n"/>
    </row>
    <row r="270">
      <c r="H270" s="50" t="n"/>
    </row>
    <row r="271">
      <c r="H271" s="50" t="n"/>
    </row>
    <row r="272">
      <c r="H272" s="50" t="n"/>
    </row>
    <row r="273">
      <c r="H273" s="50" t="n"/>
    </row>
    <row r="274">
      <c r="H274" s="50" t="n"/>
    </row>
    <row r="275">
      <c r="H275" s="50" t="n"/>
    </row>
    <row r="276">
      <c r="H276" s="50" t="n"/>
    </row>
    <row r="277">
      <c r="H277" s="50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B2" sqref="B2"/>
    </sheetView>
  </sheetViews>
  <sheetFormatPr baseColWidth="8" defaultRowHeight="15"/>
  <cols>
    <col width="18" customWidth="1" min="1" max="1"/>
    <col width="22" customWidth="1" min="2" max="2"/>
  </cols>
  <sheetData>
    <row r="1">
      <c r="A1" s="64" t="inlineStr">
        <is>
          <t>Country</t>
        </is>
      </c>
      <c r="B1" s="64" t="inlineStr">
        <is>
          <t>Last_Official_Month</t>
        </is>
      </c>
    </row>
    <row r="2">
      <c r="A2" t="inlineStr">
        <is>
          <t>US</t>
        </is>
      </c>
      <c r="B2" t="inlineStr">
        <is>
          <t>March</t>
        </is>
      </c>
    </row>
    <row r="3">
      <c r="A3" t="inlineStr">
        <is>
          <t>Brazil</t>
        </is>
      </c>
      <c r="B3" t="inlineStr">
        <is>
          <t>March</t>
        </is>
      </c>
    </row>
    <row r="4">
      <c r="A4" t="inlineStr">
        <is>
          <t>Argentina</t>
        </is>
      </c>
      <c r="B4" t="inlineStr">
        <is>
          <t>March</t>
        </is>
      </c>
    </row>
    <row r="5">
      <c r="A5" t="inlineStr">
        <is>
          <t>Ukraine</t>
        </is>
      </c>
      <c r="B5" t="inlineStr">
        <is>
          <t>March</t>
        </is>
      </c>
    </row>
    <row r="6">
      <c r="A6" t="inlineStr">
        <is>
          <t>Russia</t>
        </is>
      </c>
      <c r="B6" t="inlineStr">
        <is>
          <t>March</t>
        </is>
      </c>
    </row>
    <row r="7">
      <c r="A7" t="inlineStr">
        <is>
          <t>Canada</t>
        </is>
      </c>
      <c r="B7" t="inlineStr">
        <is>
          <t>March</t>
        </is>
      </c>
    </row>
    <row r="8">
      <c r="A8" t="inlineStr">
        <is>
          <t>Australia</t>
        </is>
      </c>
      <c r="B8" t="inlineStr">
        <is>
          <t>March</t>
        </is>
      </c>
    </row>
    <row r="9">
      <c r="A9" t="inlineStr">
        <is>
          <t>EU</t>
        </is>
      </c>
      <c r="B9" t="inlineStr">
        <is>
          <t>February</t>
        </is>
      </c>
    </row>
    <row r="10">
      <c r="A10" t="inlineStr">
        <is>
          <t>China</t>
        </is>
      </c>
      <c r="B10" t="inlineStr">
        <is>
          <t>March</t>
        </is>
      </c>
    </row>
    <row r="11">
      <c r="A11" t="inlineStr">
        <is>
          <t>TotalNonUS</t>
        </is>
      </c>
      <c r="B11" t="inlineStr">
        <is>
          <t>March</t>
        </is>
      </c>
    </row>
    <row r="12">
      <c r="A12" t="inlineStr">
        <is>
          <t>MajorExporter</t>
        </is>
      </c>
      <c r="B12" t="inlineStr">
        <is>
          <t>March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</cols>
  <sheetData>
    <row r="1">
      <c r="A1" s="70" t="inlineStr">
        <is>
          <t>Commodity</t>
        </is>
      </c>
      <c r="B1" s="70" t="inlineStr">
        <is>
          <t>Country</t>
        </is>
      </c>
      <c r="C1" s="70" t="inlineStr">
        <is>
          <t>USDA_MY_Total_TMT</t>
        </is>
      </c>
    </row>
    <row r="2">
      <c r="A2" t="inlineStr">
        <is>
          <t>Corn</t>
        </is>
      </c>
      <c r="B2" t="inlineStr">
        <is>
          <t>US</t>
        </is>
      </c>
    </row>
    <row r="3">
      <c r="A3" t="inlineStr">
        <is>
          <t>Corn</t>
        </is>
      </c>
      <c r="B3" t="inlineStr">
        <is>
          <t>Brazil</t>
        </is>
      </c>
    </row>
    <row r="4">
      <c r="A4" t="inlineStr">
        <is>
          <t>Corn</t>
        </is>
      </c>
      <c r="B4" t="inlineStr">
        <is>
          <t>Argentina</t>
        </is>
      </c>
    </row>
    <row r="5">
      <c r="A5" t="inlineStr">
        <is>
          <t>Corn</t>
        </is>
      </c>
      <c r="B5" t="inlineStr">
        <is>
          <t>Ukraine</t>
        </is>
      </c>
    </row>
    <row r="6">
      <c r="A6" t="inlineStr">
        <is>
          <t>Soybeans</t>
        </is>
      </c>
      <c r="B6" t="inlineStr">
        <is>
          <t>US</t>
        </is>
      </c>
    </row>
    <row r="7">
      <c r="A7" t="inlineStr">
        <is>
          <t>Soybeans</t>
        </is>
      </c>
      <c r="B7" t="inlineStr">
        <is>
          <t>Brazil</t>
        </is>
      </c>
    </row>
    <row r="8">
      <c r="A8" t="inlineStr">
        <is>
          <t>Soybeans</t>
        </is>
      </c>
      <c r="B8" t="inlineStr">
        <is>
          <t>Argentina</t>
        </is>
      </c>
    </row>
    <row r="9">
      <c r="A9" t="inlineStr">
        <is>
          <t>SoybeanMeal</t>
        </is>
      </c>
      <c r="B9" t="inlineStr">
        <is>
          <t>US</t>
        </is>
      </c>
    </row>
    <row r="10">
      <c r="A10" t="inlineStr">
        <is>
          <t>SoybeanMeal</t>
        </is>
      </c>
      <c r="B10" t="inlineStr">
        <is>
          <t>Brazil</t>
        </is>
      </c>
    </row>
    <row r="11">
      <c r="A11" t="inlineStr">
        <is>
          <t>SoybeanMeal</t>
        </is>
      </c>
      <c r="B11" t="inlineStr">
        <is>
          <t>Argentina</t>
        </is>
      </c>
    </row>
    <row r="12">
      <c r="A12" t="inlineStr">
        <is>
          <t>Wheat</t>
        </is>
      </c>
      <c r="B12" t="inlineStr">
        <is>
          <t>US</t>
        </is>
      </c>
    </row>
    <row r="13">
      <c r="A13" t="inlineStr">
        <is>
          <t>Wheat</t>
        </is>
      </c>
      <c r="B13" t="inlineStr">
        <is>
          <t>Canada</t>
        </is>
      </c>
    </row>
    <row r="14">
      <c r="A14" t="inlineStr">
        <is>
          <t>Wheat</t>
        </is>
      </c>
      <c r="B14" t="inlineStr">
        <is>
          <t>EU</t>
        </is>
      </c>
    </row>
    <row r="15">
      <c r="A15" t="inlineStr">
        <is>
          <t>Wheat</t>
        </is>
      </c>
      <c r="B15" t="inlineStr">
        <is>
          <t>Russia</t>
        </is>
      </c>
    </row>
    <row r="16">
      <c r="A16" t="inlineStr">
        <is>
          <t>Wheat</t>
        </is>
      </c>
      <c r="B16" t="inlineStr">
        <is>
          <t>Ukraine</t>
        </is>
      </c>
    </row>
    <row r="17">
      <c r="A17" t="inlineStr">
        <is>
          <t>Wheat</t>
        </is>
      </c>
      <c r="B17" t="inlineStr">
        <is>
          <t>Argentina</t>
        </is>
      </c>
    </row>
    <row r="18">
      <c r="A18" t="inlineStr">
        <is>
          <t>Wheat</t>
        </is>
      </c>
      <c r="B18" t="inlineStr">
        <is>
          <t>Australia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Props1.xml><?xml version="1.0" encoding="utf-8"?>
<ds:datastoreItem xmlns:ds="http://schemas.openxmlformats.org/officeDocument/2006/customXml" ds:itemID="{DDC9D9EA-6611-4E83-9F93-4C0BB8E7E62A}"/>
</file>

<file path=customXml/itemProps2.xml><?xml version="1.0" encoding="utf-8"?>
<ds:datastoreItem xmlns:ds="http://schemas.openxmlformats.org/officeDocument/2006/customXml" ds:itemID="{18313436-0D0C-4509-B8F8-BF1D4EE350A4}"/>
</file>

<file path=customXml/itemProps3.xml><?xml version="1.0" encoding="utf-8"?>
<ds:datastoreItem xmlns:ds="http://schemas.openxmlformats.org/officeDocument/2006/customXml" ds:itemID="{D9213AC2-6ABA-48F9-BC15-50FCD621F115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2026-05-05T20:21:40Z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